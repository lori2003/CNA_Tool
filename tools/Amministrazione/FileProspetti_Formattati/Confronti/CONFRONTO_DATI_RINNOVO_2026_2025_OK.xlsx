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simoncellil\Desktop\toolbox\tools\Amministrazione\FileProspetti_Formattati\Confronti\"/>
    </mc:Choice>
  </mc:AlternateContent>
  <xr:revisionPtr revIDLastSave="0" documentId="13_ncr:1_{9E16F034-8ECD-47FA-B221-1D1B1B749A68}" xr6:coauthVersionLast="47" xr6:coauthVersionMax="47" xr10:uidLastSave="{00000000-0000-0000-0000-000000000000}"/>
  <bookViews>
    <workbookView xWindow="30945" yWindow="1095" windowWidth="24885" windowHeight="12960" xr2:uid="{C418F6D3-753D-436E-8C8E-21D8E7C0D22D}"/>
  </bookViews>
  <sheets>
    <sheet name="Foglio1" sheetId="1" r:id="rId1"/>
    <sheet name="Foglio2" sheetId="2" r:id="rId2"/>
  </sheets>
  <definedNames>
    <definedName name="_xlnm.Print_Area" localSheetId="0">Foglio1!$A$3:$E$155</definedName>
    <definedName name="_xlnm.Print_Titles" localSheetId="0">Foglio1!$3:$3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5" i="1" l="1"/>
  <c r="E135" i="1" s="1"/>
  <c r="D6" i="1"/>
  <c r="E6" i="1" s="1"/>
  <c r="D7" i="1"/>
  <c r="E7" i="1" s="1"/>
  <c r="D8" i="1"/>
  <c r="E8" i="1" s="1"/>
  <c r="D9" i="1"/>
  <c r="E9" i="1" s="1"/>
  <c r="D10" i="1"/>
  <c r="E10" i="1" s="1"/>
  <c r="D12" i="1"/>
  <c r="E12" i="1" s="1"/>
  <c r="D13" i="1"/>
  <c r="E13" i="1" s="1"/>
  <c r="D14" i="1"/>
  <c r="E14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2" i="1"/>
  <c r="E42" i="1" s="1"/>
  <c r="D43" i="1"/>
  <c r="E43" i="1" s="1"/>
  <c r="D44" i="1"/>
  <c r="E44" i="1" s="1"/>
  <c r="D45" i="1"/>
  <c r="E45" i="1" s="1"/>
  <c r="D46" i="1"/>
  <c r="E46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6" i="1"/>
  <c r="E56" i="1" s="1"/>
  <c r="D57" i="1"/>
  <c r="E57" i="1" s="1"/>
  <c r="D58" i="1"/>
  <c r="E58" i="1" s="1"/>
  <c r="D59" i="1"/>
  <c r="E59" i="1" s="1"/>
  <c r="D60" i="1"/>
  <c r="E60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80" i="1"/>
  <c r="E80" i="1" s="1"/>
  <c r="D81" i="1"/>
  <c r="E81" i="1" s="1"/>
  <c r="D82" i="1"/>
  <c r="E82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4" i="1"/>
  <c r="E134" i="1" s="1"/>
  <c r="D136" i="1"/>
  <c r="E136" i="1" s="1"/>
  <c r="D138" i="1"/>
  <c r="E138" i="1" s="1"/>
  <c r="D139" i="1"/>
  <c r="E139" i="1" s="1"/>
  <c r="D140" i="1"/>
  <c r="E140" i="1" s="1"/>
  <c r="D142" i="1"/>
  <c r="E142" i="1" s="1"/>
  <c r="D143" i="1"/>
  <c r="E143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5" i="1"/>
  <c r="E155" i="1" s="1"/>
  <c r="D5" i="1"/>
  <c r="E5" i="1" s="1"/>
  <c r="N130" i="2" l="1"/>
  <c r="O130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O122" i="2" s="1"/>
  <c r="N121" i="2"/>
  <c r="O121" i="2" s="1"/>
  <c r="N119" i="2"/>
  <c r="O119" i="2" s="1"/>
  <c r="N117" i="2"/>
  <c r="O117" i="2" s="1"/>
  <c r="N115" i="2"/>
  <c r="O115" i="2" s="1"/>
  <c r="N112" i="2"/>
  <c r="O112" i="2" s="1"/>
  <c r="N111" i="2"/>
  <c r="O111" i="2" s="1"/>
  <c r="N110" i="2"/>
  <c r="O110" i="2" s="1"/>
  <c r="N109" i="2"/>
  <c r="O109" i="2" s="1"/>
  <c r="N108" i="2"/>
  <c r="O108" i="2" s="1"/>
  <c r="N107" i="2"/>
  <c r="O107" i="2" s="1"/>
  <c r="N106" i="2"/>
  <c r="O106" i="2" s="1"/>
  <c r="N105" i="2"/>
  <c r="O105" i="2" s="1"/>
  <c r="N104" i="2"/>
  <c r="O104" i="2" s="1"/>
  <c r="N103" i="2"/>
  <c r="O103" i="2" s="1"/>
  <c r="N100" i="2"/>
  <c r="O100" i="2" s="1"/>
  <c r="N99" i="2"/>
  <c r="O99" i="2" s="1"/>
  <c r="N98" i="2"/>
  <c r="O98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0" i="2"/>
  <c r="O90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79" i="2"/>
  <c r="O79" i="2" s="1"/>
  <c r="N78" i="2"/>
  <c r="O78" i="2" s="1"/>
  <c r="N77" i="2"/>
  <c r="O77" i="2" s="1"/>
  <c r="N76" i="2"/>
  <c r="O76" i="2" s="1"/>
  <c r="N75" i="2"/>
  <c r="O75" i="2" s="1"/>
  <c r="N74" i="2"/>
  <c r="O74" i="2" s="1"/>
  <c r="N72" i="2"/>
  <c r="O72" i="2" s="1"/>
  <c r="N69" i="2"/>
  <c r="O69" i="2" s="1"/>
  <c r="N68" i="2"/>
  <c r="O68" i="2" s="1"/>
  <c r="N67" i="2"/>
  <c r="O67" i="2" s="1"/>
  <c r="N66" i="2"/>
  <c r="O66" i="2" s="1"/>
  <c r="N65" i="2"/>
  <c r="O65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1" i="2"/>
  <c r="O51" i="2" s="1"/>
  <c r="N50" i="2"/>
  <c r="O50" i="2" s="1"/>
  <c r="N49" i="2"/>
  <c r="O49" i="2" s="1"/>
  <c r="N48" i="2"/>
  <c r="O48" i="2" s="1"/>
  <c r="N45" i="2"/>
  <c r="O45" i="2" s="1"/>
  <c r="N44" i="2"/>
  <c r="O44" i="2" s="1"/>
  <c r="N43" i="2"/>
  <c r="O43" i="2" s="1"/>
  <c r="N42" i="2"/>
  <c r="O42" i="2" s="1"/>
  <c r="N41" i="2"/>
  <c r="O41" i="2" s="1"/>
  <c r="N39" i="2"/>
  <c r="O39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4" i="2"/>
  <c r="O24" i="2" s="1"/>
  <c r="N23" i="2"/>
  <c r="O23" i="2" s="1"/>
  <c r="N22" i="2"/>
  <c r="O22" i="2" s="1"/>
  <c r="N21" i="2"/>
  <c r="O21" i="2" s="1"/>
  <c r="N20" i="2"/>
  <c r="O20" i="2" s="1"/>
  <c r="N17" i="2"/>
  <c r="O17" i="2" s="1"/>
  <c r="N16" i="2"/>
  <c r="O16" i="2" s="1"/>
  <c r="N15" i="2"/>
  <c r="O15" i="2" s="1"/>
  <c r="N14" i="2"/>
  <c r="O14" i="2" s="1"/>
  <c r="N13" i="2"/>
  <c r="O13" i="2" s="1"/>
  <c r="N11" i="2"/>
  <c r="O11" i="2" s="1"/>
  <c r="N8" i="2"/>
  <c r="O8" i="2" s="1"/>
  <c r="N7" i="2"/>
  <c r="O7" i="2" s="1"/>
  <c r="N6" i="2"/>
  <c r="O6" i="2" s="1"/>
  <c r="N5" i="2"/>
  <c r="O5" i="2" s="1"/>
  <c r="N4" i="2"/>
  <c r="O4" i="2" s="1"/>
  <c r="L128" i="2"/>
  <c r="L113" i="2"/>
  <c r="L101" i="2"/>
  <c r="L88" i="2"/>
  <c r="L80" i="2"/>
  <c r="L70" i="2"/>
  <c r="L63" i="2"/>
  <c r="L52" i="2"/>
  <c r="L46" i="2"/>
  <c r="L37" i="2"/>
  <c r="L25" i="2"/>
  <c r="L18" i="2"/>
  <c r="L9" i="2"/>
  <c r="M128" i="2"/>
  <c r="M113" i="2"/>
  <c r="M101" i="2"/>
  <c r="M88" i="2"/>
  <c r="N88" i="2" s="1"/>
  <c r="O88" i="2" s="1"/>
  <c r="M80" i="2"/>
  <c r="M70" i="2"/>
  <c r="M63" i="2"/>
  <c r="M52" i="2"/>
  <c r="M46" i="2"/>
  <c r="M37" i="2"/>
  <c r="M25" i="2"/>
  <c r="M18" i="2"/>
  <c r="M9" i="2"/>
  <c r="I130" i="2"/>
  <c r="J130" i="2" s="1"/>
  <c r="I127" i="2"/>
  <c r="J127" i="2" s="1"/>
  <c r="I126" i="2"/>
  <c r="J126" i="2" s="1"/>
  <c r="I125" i="2"/>
  <c r="I124" i="2"/>
  <c r="J124" i="2" s="1"/>
  <c r="I123" i="2"/>
  <c r="J123" i="2" s="1"/>
  <c r="I122" i="2"/>
  <c r="J122" i="2" s="1"/>
  <c r="I121" i="2"/>
  <c r="J121" i="2" s="1"/>
  <c r="I119" i="2"/>
  <c r="J119" i="2" s="1"/>
  <c r="I117" i="2"/>
  <c r="J117" i="2" s="1"/>
  <c r="I115" i="2"/>
  <c r="J115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I105" i="2"/>
  <c r="J105" i="2" s="1"/>
  <c r="I104" i="2"/>
  <c r="J104" i="2" s="1"/>
  <c r="I103" i="2"/>
  <c r="J103" i="2" s="1"/>
  <c r="I100" i="2"/>
  <c r="J100" i="2" s="1"/>
  <c r="I99" i="2"/>
  <c r="J99" i="2" s="1"/>
  <c r="I98" i="2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0" i="2"/>
  <c r="J90" i="2" s="1"/>
  <c r="I87" i="2"/>
  <c r="J87" i="2" s="1"/>
  <c r="I86" i="2"/>
  <c r="J86" i="2" s="1"/>
  <c r="I85" i="2"/>
  <c r="I84" i="2"/>
  <c r="J84" i="2" s="1"/>
  <c r="I83" i="2"/>
  <c r="I82" i="2"/>
  <c r="J82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2" i="2"/>
  <c r="J72" i="2" s="1"/>
  <c r="I69" i="2"/>
  <c r="J69" i="2" s="1"/>
  <c r="I68" i="2"/>
  <c r="J68" i="2" s="1"/>
  <c r="I67" i="2"/>
  <c r="J67" i="2" s="1"/>
  <c r="I66" i="2"/>
  <c r="J66" i="2" s="1"/>
  <c r="I65" i="2"/>
  <c r="J65" i="2" s="1"/>
  <c r="I62" i="2"/>
  <c r="I61" i="2"/>
  <c r="J61" i="2" s="1"/>
  <c r="I60" i="2"/>
  <c r="J60" i="2" s="1"/>
  <c r="I59" i="2"/>
  <c r="J59" i="2" s="1"/>
  <c r="I58" i="2"/>
  <c r="J58" i="2" s="1"/>
  <c r="I57" i="2"/>
  <c r="I56" i="2"/>
  <c r="J56" i="2" s="1"/>
  <c r="I55" i="2"/>
  <c r="J55" i="2" s="1"/>
  <c r="I54" i="2"/>
  <c r="J54" i="2" s="1"/>
  <c r="I51" i="2"/>
  <c r="J51" i="2" s="1"/>
  <c r="I50" i="2"/>
  <c r="J50" i="2" s="1"/>
  <c r="I49" i="2"/>
  <c r="J49" i="2" s="1"/>
  <c r="I48" i="2"/>
  <c r="I45" i="2"/>
  <c r="J45" i="2" s="1"/>
  <c r="I44" i="2"/>
  <c r="J44" i="2" s="1"/>
  <c r="I43" i="2"/>
  <c r="I42" i="2"/>
  <c r="J42" i="2" s="1"/>
  <c r="I41" i="2"/>
  <c r="J41" i="2" s="1"/>
  <c r="I39" i="2"/>
  <c r="J39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I30" i="2"/>
  <c r="J30" i="2" s="1"/>
  <c r="I29" i="2"/>
  <c r="J29" i="2" s="1"/>
  <c r="I28" i="2"/>
  <c r="J28" i="2" s="1"/>
  <c r="I27" i="2"/>
  <c r="J27" i="2" s="1"/>
  <c r="I24" i="2"/>
  <c r="J24" i="2" s="1"/>
  <c r="I23" i="2"/>
  <c r="J23" i="2" s="1"/>
  <c r="I22" i="2"/>
  <c r="J22" i="2" s="1"/>
  <c r="I21" i="2"/>
  <c r="I20" i="2"/>
  <c r="J20" i="2" s="1"/>
  <c r="I17" i="2"/>
  <c r="J17" i="2" s="1"/>
  <c r="I16" i="2"/>
  <c r="J16" i="2" s="1"/>
  <c r="I15" i="2"/>
  <c r="J15" i="2" s="1"/>
  <c r="I14" i="2"/>
  <c r="J14" i="2" s="1"/>
  <c r="I13" i="2"/>
  <c r="J13" i="2" s="1"/>
  <c r="I11" i="2"/>
  <c r="J11" i="2" s="1"/>
  <c r="I8" i="2"/>
  <c r="J8" i="2" s="1"/>
  <c r="I7" i="2"/>
  <c r="J7" i="2" s="1"/>
  <c r="I6" i="2"/>
  <c r="J6" i="2" s="1"/>
  <c r="I5" i="2"/>
  <c r="J5" i="2" s="1"/>
  <c r="I4" i="2"/>
  <c r="J4" i="2" s="1"/>
  <c r="G128" i="2"/>
  <c r="G113" i="2"/>
  <c r="G101" i="2"/>
  <c r="G88" i="2"/>
  <c r="G80" i="2"/>
  <c r="G70" i="2"/>
  <c r="G63" i="2"/>
  <c r="G52" i="2"/>
  <c r="G46" i="2"/>
  <c r="G37" i="2"/>
  <c r="G25" i="2"/>
  <c r="G18" i="2"/>
  <c r="G9" i="2"/>
  <c r="H128" i="2"/>
  <c r="H113" i="2"/>
  <c r="H101" i="2"/>
  <c r="H88" i="2"/>
  <c r="H80" i="2"/>
  <c r="I80" i="2" s="1"/>
  <c r="H70" i="2"/>
  <c r="H63" i="2"/>
  <c r="H52" i="2"/>
  <c r="H46" i="2"/>
  <c r="H37" i="2"/>
  <c r="H25" i="2"/>
  <c r="H18" i="2"/>
  <c r="H9" i="2"/>
  <c r="J85" i="2"/>
  <c r="J62" i="2"/>
  <c r="J48" i="2"/>
  <c r="J21" i="2"/>
  <c r="E11" i="2"/>
  <c r="D130" i="2"/>
  <c r="E130" i="2" s="1"/>
  <c r="D127" i="2"/>
  <c r="E127" i="2" s="1"/>
  <c r="D126" i="2"/>
  <c r="E126" i="2" s="1"/>
  <c r="D125" i="2"/>
  <c r="E125" i="2" s="1"/>
  <c r="D124" i="2"/>
  <c r="E124" i="2" s="1"/>
  <c r="D123" i="2"/>
  <c r="E123" i="2" s="1"/>
  <c r="D122" i="2"/>
  <c r="E122" i="2" s="1"/>
  <c r="D121" i="2"/>
  <c r="E121" i="2" s="1"/>
  <c r="D119" i="2"/>
  <c r="E119" i="2" s="1"/>
  <c r="D117" i="2"/>
  <c r="E117" i="2" s="1"/>
  <c r="D115" i="2"/>
  <c r="E115" i="2" s="1"/>
  <c r="D112" i="2"/>
  <c r="E112" i="2" s="1"/>
  <c r="D111" i="2"/>
  <c r="E111" i="2" s="1"/>
  <c r="D110" i="2"/>
  <c r="E110" i="2" s="1"/>
  <c r="D109" i="2"/>
  <c r="E109" i="2" s="1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0" i="2"/>
  <c r="E90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2" i="2"/>
  <c r="E72" i="2" s="1"/>
  <c r="D69" i="2"/>
  <c r="E69" i="2" s="1"/>
  <c r="D68" i="2"/>
  <c r="E68" i="2" s="1"/>
  <c r="D67" i="2"/>
  <c r="E67" i="2" s="1"/>
  <c r="D66" i="2"/>
  <c r="E66" i="2" s="1"/>
  <c r="D65" i="2"/>
  <c r="E65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D54" i="2"/>
  <c r="E54" i="2" s="1"/>
  <c r="D51" i="2"/>
  <c r="E51" i="2" s="1"/>
  <c r="D50" i="2"/>
  <c r="E50" i="2" s="1"/>
  <c r="D49" i="2"/>
  <c r="E49" i="2" s="1"/>
  <c r="D48" i="2"/>
  <c r="E48" i="2" s="1"/>
  <c r="D45" i="2"/>
  <c r="E45" i="2" s="1"/>
  <c r="D44" i="2"/>
  <c r="E44" i="2" s="1"/>
  <c r="D43" i="2"/>
  <c r="E43" i="2" s="1"/>
  <c r="D42" i="2"/>
  <c r="E42" i="2" s="1"/>
  <c r="D41" i="2"/>
  <c r="E41" i="2" s="1"/>
  <c r="D39" i="2"/>
  <c r="E39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4" i="2"/>
  <c r="E24" i="2" s="1"/>
  <c r="D23" i="2"/>
  <c r="E23" i="2" s="1"/>
  <c r="D22" i="2"/>
  <c r="E22" i="2" s="1"/>
  <c r="D21" i="2"/>
  <c r="E21" i="2" s="1"/>
  <c r="D20" i="2"/>
  <c r="E20" i="2" s="1"/>
  <c r="D17" i="2"/>
  <c r="E17" i="2" s="1"/>
  <c r="D16" i="2"/>
  <c r="E16" i="2" s="1"/>
  <c r="D15" i="2"/>
  <c r="E15" i="2" s="1"/>
  <c r="D14" i="2"/>
  <c r="E14" i="2" s="1"/>
  <c r="D13" i="2"/>
  <c r="E13" i="2" s="1"/>
  <c r="D8" i="2"/>
  <c r="E8" i="2" s="1"/>
  <c r="D7" i="2"/>
  <c r="E7" i="2" s="1"/>
  <c r="D6" i="2"/>
  <c r="E6" i="2" s="1"/>
  <c r="D5" i="2"/>
  <c r="E5" i="2" s="1"/>
  <c r="D4" i="2"/>
  <c r="E4" i="2" s="1"/>
  <c r="C128" i="2"/>
  <c r="C113" i="2"/>
  <c r="C101" i="2"/>
  <c r="C88" i="2"/>
  <c r="C80" i="2"/>
  <c r="C70" i="2"/>
  <c r="C63" i="2"/>
  <c r="C52" i="2"/>
  <c r="C46" i="2"/>
  <c r="C37" i="2"/>
  <c r="C25" i="2"/>
  <c r="C18" i="2"/>
  <c r="C9" i="2"/>
  <c r="B128" i="2"/>
  <c r="B113" i="2"/>
  <c r="B101" i="2"/>
  <c r="B88" i="2"/>
  <c r="B80" i="2"/>
  <c r="B70" i="2"/>
  <c r="B63" i="2"/>
  <c r="B52" i="2"/>
  <c r="B46" i="2"/>
  <c r="B37" i="2"/>
  <c r="B25" i="2"/>
  <c r="B18" i="2"/>
  <c r="B9" i="2"/>
  <c r="J43" i="2" l="1"/>
  <c r="I25" i="2"/>
  <c r="J25" i="2" s="1"/>
  <c r="I101" i="2"/>
  <c r="J101" i="2" s="1"/>
  <c r="N101" i="2"/>
  <c r="O101" i="2" s="1"/>
  <c r="N70" i="2"/>
  <c r="O70" i="2" s="1"/>
  <c r="N25" i="2"/>
  <c r="O25" i="2" s="1"/>
  <c r="N80" i="2"/>
  <c r="O80" i="2" s="1"/>
  <c r="N18" i="2"/>
  <c r="O18" i="2" s="1"/>
  <c r="I113" i="2"/>
  <c r="J113" i="2" s="1"/>
  <c r="N9" i="2"/>
  <c r="O9" i="2" s="1"/>
  <c r="N63" i="2"/>
  <c r="O63" i="2" s="1"/>
  <c r="N128" i="2"/>
  <c r="O128" i="2" s="1"/>
  <c r="I37" i="2"/>
  <c r="J37" i="2" s="1"/>
  <c r="I70" i="2"/>
  <c r="J70" i="2" s="1"/>
  <c r="I88" i="2"/>
  <c r="J88" i="2" s="1"/>
  <c r="I9" i="2"/>
  <c r="J9" i="2" s="1"/>
  <c r="I63" i="2"/>
  <c r="J63" i="2" s="1"/>
  <c r="I128" i="2"/>
  <c r="J128" i="2" s="1"/>
  <c r="N37" i="2"/>
  <c r="O37" i="2" s="1"/>
  <c r="N52" i="2"/>
  <c r="O52" i="2" s="1"/>
  <c r="N113" i="2"/>
  <c r="O113" i="2" s="1"/>
  <c r="N46" i="2"/>
  <c r="O46" i="2" s="1"/>
  <c r="I52" i="2"/>
  <c r="J52" i="2" s="1"/>
  <c r="I46" i="2"/>
  <c r="J46" i="2" s="1"/>
  <c r="I18" i="2"/>
  <c r="J18" i="2" s="1"/>
  <c r="J125" i="2"/>
  <c r="J106" i="2"/>
  <c r="J98" i="2"/>
  <c r="J83" i="2"/>
  <c r="J80" i="2"/>
  <c r="J57" i="2"/>
  <c r="J31" i="2"/>
  <c r="D37" i="2"/>
  <c r="E37" i="2" s="1"/>
  <c r="D88" i="2"/>
  <c r="E88" i="2" s="1"/>
  <c r="D9" i="2"/>
  <c r="E9" i="2" s="1"/>
  <c r="D63" i="2"/>
  <c r="E63" i="2" s="1"/>
  <c r="D128" i="2"/>
  <c r="E128" i="2" s="1"/>
  <c r="D25" i="2"/>
  <c r="E25" i="2" s="1"/>
  <c r="D80" i="2"/>
  <c r="E80" i="2" s="1"/>
  <c r="D18" i="2"/>
  <c r="E18" i="2" s="1"/>
  <c r="D70" i="2"/>
  <c r="E70" i="2" s="1"/>
  <c r="D46" i="2"/>
  <c r="E46" i="2" s="1"/>
  <c r="D101" i="2"/>
  <c r="E101" i="2" s="1"/>
  <c r="D52" i="2"/>
  <c r="E52" i="2" s="1"/>
  <c r="D113" i="2"/>
  <c r="E113" i="2" s="1"/>
</calcChain>
</file>

<file path=xl/sharedStrings.xml><?xml version="1.0" encoding="utf-8"?>
<sst xmlns="http://schemas.openxmlformats.org/spreadsheetml/2006/main" count="372" uniqueCount="157">
  <si>
    <t>AVEZZANO</t>
  </si>
  <si>
    <t>CHIETI</t>
  </si>
  <si>
    <t>L'AQUILA</t>
  </si>
  <si>
    <t>PESCARA</t>
  </si>
  <si>
    <t>TERAMO</t>
  </si>
  <si>
    <t>ABRUZZO</t>
  </si>
  <si>
    <t>BASILICATA</t>
  </si>
  <si>
    <t>CATANZARO</t>
  </si>
  <si>
    <t>COSENZA</t>
  </si>
  <si>
    <t>CROTONE</t>
  </si>
  <si>
    <t>REGGIO CALABRIA</t>
  </si>
  <si>
    <t>VIBO VALENTIA</t>
  </si>
  <si>
    <t>CALABRIA</t>
  </si>
  <si>
    <t>AVELLINO</t>
  </si>
  <si>
    <t>BENEVENTO</t>
  </si>
  <si>
    <t>CASERTA</t>
  </si>
  <si>
    <t>NAPOLI</t>
  </si>
  <si>
    <t>SALERNO</t>
  </si>
  <si>
    <t>CAMPANIA</t>
  </si>
  <si>
    <t>BOLOGNA</t>
  </si>
  <si>
    <t>FERRARA</t>
  </si>
  <si>
    <t>FORLI</t>
  </si>
  <si>
    <t>IMOLA</t>
  </si>
  <si>
    <t>MODENA</t>
  </si>
  <si>
    <t>PARMA</t>
  </si>
  <si>
    <t>PIACENZA</t>
  </si>
  <si>
    <t>RAVENNA</t>
  </si>
  <si>
    <t>REGGIO EMILIA</t>
  </si>
  <si>
    <t>RIMINI</t>
  </si>
  <si>
    <t>EMILIA ROMAGNA</t>
  </si>
  <si>
    <t>FRIULI</t>
  </si>
  <si>
    <t>FROSINONE</t>
  </si>
  <si>
    <t>LATINA</t>
  </si>
  <si>
    <t>RIETI</t>
  </si>
  <si>
    <t>ROMA</t>
  </si>
  <si>
    <t>LAZIO</t>
  </si>
  <si>
    <t>GENOVA</t>
  </si>
  <si>
    <t>IMPERIA</t>
  </si>
  <si>
    <t>LA SPEZIA</t>
  </si>
  <si>
    <t>SAVONA</t>
  </si>
  <si>
    <t>LIGURIA</t>
  </si>
  <si>
    <t>BERGAMO</t>
  </si>
  <si>
    <t>BRESCIA</t>
  </si>
  <si>
    <t>CREMONA</t>
  </si>
  <si>
    <t>MANTOVA</t>
  </si>
  <si>
    <t>PAVIA</t>
  </si>
  <si>
    <t>SONDRIO</t>
  </si>
  <si>
    <t>VARESE</t>
  </si>
  <si>
    <t>LOMBARDIA</t>
  </si>
  <si>
    <t>ANCONA</t>
  </si>
  <si>
    <t>ASCOLI PICENO</t>
  </si>
  <si>
    <t>FERMO</t>
  </si>
  <si>
    <t>MACERATA</t>
  </si>
  <si>
    <t>PESARO</t>
  </si>
  <si>
    <t>MARCHE</t>
  </si>
  <si>
    <t>MOLISE</t>
  </si>
  <si>
    <t>ALESSANDRIA</t>
  </si>
  <si>
    <t>ASTI</t>
  </si>
  <si>
    <t>BIELLA</t>
  </si>
  <si>
    <t>CUNEO</t>
  </si>
  <si>
    <t>TORINO</t>
  </si>
  <si>
    <t>PIEMONTE</t>
  </si>
  <si>
    <t>BARI</t>
  </si>
  <si>
    <t>B.A.T.</t>
  </si>
  <si>
    <t>BRINDISI</t>
  </si>
  <si>
    <t>FOGGIA</t>
  </si>
  <si>
    <t>LECCE</t>
  </si>
  <si>
    <t>TARANTO</t>
  </si>
  <si>
    <t>PUGLIA</t>
  </si>
  <si>
    <t>SARDEGNA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</si>
  <si>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</si>
  <si>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</si>
  <si>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</si>
  <si>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</si>
  <si>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</si>
  <si>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</si>
  <si>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</si>
  <si>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</si>
  <si>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</si>
  <si>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SICILIA</t>
  </si>
  <si>
    <t>AREZZO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</si>
  <si>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</si>
  <si>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</si>
  <si>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</si>
  <si>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</si>
  <si>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</si>
  <si>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</si>
  <si>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</si>
  <si>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</si>
  <si>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</si>
  <si>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TOSCANA</t>
  </si>
  <si>
    <t>TRENTINO A.A.</t>
  </si>
  <si>
    <t>UMBRIA</t>
  </si>
  <si>
    <t>BELLUNO</t>
  </si>
  <si>
    <t>PADOVA</t>
  </si>
  <si>
    <t>ROVIGO</t>
  </si>
  <si>
    <t>TREVISO</t>
  </si>
  <si>
    <t>VENEZIA</t>
  </si>
  <si>
    <t>VERONA</t>
  </si>
  <si>
    <t>VICENZA</t>
  </si>
  <si>
    <t>VENETO</t>
  </si>
  <si>
    <t>NAZIONALE</t>
  </si>
  <si>
    <t/>
  </si>
  <si>
    <t xml:space="preserve"> </t>
  </si>
  <si>
    <t>SEDI / REGIONI</t>
  </si>
  <si>
    <t>VALLE D'AOSTA</t>
  </si>
  <si>
    <t>VITERBO - CIVITAV.</t>
  </si>
  <si>
    <t>LARIO BRIANZA*</t>
  </si>
  <si>
    <t>MILANO - LODI*</t>
  </si>
  <si>
    <t>PIEMONTE NORD</t>
  </si>
  <si>
    <t xml:space="preserve">NOTA : IL TASSO DI ADESIONE E' IL RAPPORTO MOLTIPLICATO PER 100 TRA (CONCOMITANTI+DELEGHE-REVOCHE) NELL'ANNO 2020 E </t>
  </si>
  <si>
    <t>IL NUMERO DEGLI ASSOCIATI DELLA SEDE AL 1 GENNAIO 2021 COMUNICATO DA INPS.</t>
  </si>
  <si>
    <t>INVECE I TASSI DI CONCOMITANTI,DELEGHE,REVOCHE ED ELIMINATE SONO CALCOLATI SUGLI ISCRITTI AL 1 GENNAIO 2021</t>
  </si>
  <si>
    <t>Concomitanti al 01/01/2020</t>
  </si>
  <si>
    <t>Concomitanti al 01/01/2021</t>
  </si>
  <si>
    <t>Variazioni in %</t>
  </si>
  <si>
    <t>Variazioni in assoluto</t>
  </si>
  <si>
    <t>Deleghe al 01/01/2020</t>
  </si>
  <si>
    <t>Deleghe al 01/01/2021</t>
  </si>
  <si>
    <t>Revoche al 01/01/2020</t>
  </si>
  <si>
    <t>Revoche al 01/01/2021</t>
  </si>
  <si>
    <t>MATERA</t>
  </si>
  <si>
    <t>POTENZA</t>
  </si>
  <si>
    <t>GORIZIA</t>
  </si>
  <si>
    <t>PORDENONE</t>
  </si>
  <si>
    <t>TRIESTE</t>
  </si>
  <si>
    <t>UDINE</t>
  </si>
  <si>
    <t>CAMPOBASSO</t>
  </si>
  <si>
    <t>ISERNIA</t>
  </si>
  <si>
    <t>CAGLIARI</t>
  </si>
  <si>
    <t>CARBONIA-IGLESIAS</t>
  </si>
  <si>
    <t>NUORO</t>
  </si>
  <si>
    <t>OLBIA-TEMPIO</t>
  </si>
  <si>
    <t>ORISTANO</t>
  </si>
  <si>
    <t>SASSARI</t>
  </si>
  <si>
    <t>BOLZANO</t>
  </si>
  <si>
    <t>TRENTO</t>
  </si>
  <si>
    <t>PERUGIA</t>
  </si>
  <si>
    <t>TERNI</t>
  </si>
  <si>
    <t>MILANO*</t>
  </si>
  <si>
    <t>TERRITORI</t>
  </si>
  <si>
    <t>CIVITAVECCHIA</t>
  </si>
  <si>
    <t>NOVARA</t>
  </si>
  <si>
    <t>VERBANO C.O.</t>
  </si>
  <si>
    <t>VERCELLI</t>
  </si>
  <si>
    <t>VENETO NORD</t>
  </si>
  <si>
    <t>LODI</t>
  </si>
  <si>
    <t>AOSTA</t>
  </si>
  <si>
    <t xml:space="preserve">VITERBO </t>
  </si>
  <si>
    <t xml:space="preserve">  </t>
  </si>
  <si>
    <t>PENSIONATI</t>
  </si>
  <si>
    <t>ASSOCIATI</t>
  </si>
  <si>
    <t>▲</t>
  </si>
  <si>
    <t>%</t>
  </si>
  <si>
    <t xml:space="preserve"> 01/01/2025</t>
  </si>
  <si>
    <t>ASSOCIATI AL 01/01/2026 CONFRONTATI COL 2025</t>
  </si>
  <si>
    <t>LOMBARDIA N.OVEST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</si>
</sst>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_€"/>
  </numFmts>
  <fonts count="24" x14ac:knownFonts="1"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rgb="FF00B050"/>
      <name val="Arial"/>
      <family val="2"/>
    </font>
    <font>
      <sz val="10"/>
      <name val="Calibri"/>
      <family val="2"/>
      <scheme val="minor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  <font>
      <i/>
      <sz val="8"/>
      <color rgb="FFFF0000"/>
      <name val="Arial"/>
      <family val="2"/>
    </font>
    <font>
      <i/>
      <sz val="8"/>
      <name val="Arial"/>
      <family val="2"/>
    </font>
    <font>
      <b/>
      <i/>
      <sz val="8"/>
      <color rgb="FFFF0000"/>
      <name val="Arial"/>
      <family val="2"/>
    </font>
    <font>
      <b/>
      <i/>
      <sz val="8"/>
      <name val="Arial"/>
      <family val="2"/>
    </font>
    <font>
      <b/>
      <i/>
      <sz val="8"/>
      <color rgb="FF00B05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u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1" fillId="0" borderId="3" xfId="0" applyFont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6" xfId="0" applyFont="1" applyBorder="1"/>
    <xf numFmtId="0" fontId="7" fillId="0" borderId="0" xfId="0" applyFont="1"/>
    <xf numFmtId="0" fontId="0" fillId="3" borderId="0" xfId="0" applyFill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9" fillId="0" borderId="0" xfId="0" applyFont="1"/>
    <xf numFmtId="3" fontId="11" fillId="0" borderId="5" xfId="0" applyNumberFormat="1" applyFont="1" applyBorder="1" applyAlignment="1">
      <alignment horizontal="center"/>
    </xf>
    <xf numFmtId="10" fontId="12" fillId="0" borderId="5" xfId="0" applyNumberFormat="1" applyFont="1" applyBorder="1"/>
    <xf numFmtId="10" fontId="13" fillId="0" borderId="5" xfId="0" applyNumberFormat="1" applyFont="1" applyBorder="1"/>
    <xf numFmtId="10" fontId="11" fillId="0" borderId="5" xfId="0" applyNumberFormat="1" applyFont="1" applyBorder="1"/>
    <xf numFmtId="10" fontId="15" fillId="0" borderId="9" xfId="0" applyNumberFormat="1" applyFont="1" applyBorder="1"/>
    <xf numFmtId="0" fontId="11" fillId="0" borderId="0" xfId="0" applyFont="1"/>
    <xf numFmtId="0" fontId="10" fillId="0" borderId="0" xfId="0" applyFont="1"/>
    <xf numFmtId="0" fontId="1" fillId="0" borderId="12" xfId="0" applyFont="1" applyBorder="1"/>
    <xf numFmtId="10" fontId="13" fillId="0" borderId="12" xfId="0" applyNumberFormat="1" applyFont="1" applyBorder="1"/>
    <xf numFmtId="0" fontId="0" fillId="3" borderId="12" xfId="0" applyFill="1" applyBorder="1"/>
    <xf numFmtId="0" fontId="5" fillId="0" borderId="12" xfId="0" applyFont="1" applyBorder="1"/>
    <xf numFmtId="0" fontId="4" fillId="0" borderId="12" xfId="0" applyFont="1" applyBorder="1"/>
    <xf numFmtId="10" fontId="12" fillId="0" borderId="12" xfId="0" applyNumberFormat="1" applyFont="1" applyBorder="1"/>
    <xf numFmtId="10" fontId="11" fillId="0" borderId="12" xfId="0" applyNumberFormat="1" applyFont="1" applyBorder="1"/>
    <xf numFmtId="10" fontId="13" fillId="0" borderId="13" xfId="0" applyNumberFormat="1" applyFont="1" applyBorder="1"/>
    <xf numFmtId="0" fontId="0" fillId="0" borderId="4" xfId="0" applyBorder="1"/>
    <xf numFmtId="10" fontId="11" fillId="0" borderId="13" xfId="0" applyNumberFormat="1" applyFont="1" applyBorder="1"/>
    <xf numFmtId="10" fontId="13" fillId="0" borderId="14" xfId="0" applyNumberFormat="1" applyFont="1" applyBorder="1"/>
    <xf numFmtId="0" fontId="0" fillId="0" borderId="12" xfId="0" applyBorder="1"/>
    <xf numFmtId="0" fontId="8" fillId="0" borderId="12" xfId="0" applyFont="1" applyBorder="1"/>
    <xf numFmtId="10" fontId="16" fillId="0" borderId="12" xfId="0" applyNumberFormat="1" applyFont="1" applyBorder="1"/>
    <xf numFmtId="0" fontId="2" fillId="0" borderId="12" xfId="0" applyFont="1" applyBorder="1"/>
    <xf numFmtId="0" fontId="1" fillId="2" borderId="12" xfId="0" applyFont="1" applyFill="1" applyBorder="1"/>
    <xf numFmtId="10" fontId="11" fillId="0" borderId="14" xfId="0" applyNumberFormat="1" applyFont="1" applyBorder="1"/>
    <xf numFmtId="0" fontId="17" fillId="0" borderId="0" xfId="0" applyFont="1"/>
    <xf numFmtId="0" fontId="6" fillId="0" borderId="12" xfId="0" applyFont="1" applyBorder="1"/>
    <xf numFmtId="0" fontId="0" fillId="3" borderId="8" xfId="0" applyFill="1" applyBorder="1"/>
    <xf numFmtId="0" fontId="2" fillId="0" borderId="15" xfId="0" applyFont="1" applyBorder="1"/>
    <xf numFmtId="3" fontId="2" fillId="0" borderId="9" xfId="0" applyNumberFormat="1" applyFont="1" applyBorder="1"/>
    <xf numFmtId="3" fontId="2" fillId="0" borderId="15" xfId="0" applyNumberFormat="1" applyFont="1" applyBorder="1"/>
    <xf numFmtId="3" fontId="6" fillId="0" borderId="9" xfId="0" applyNumberFormat="1" applyFont="1" applyBorder="1"/>
    <xf numFmtId="0" fontId="2" fillId="0" borderId="16" xfId="0" applyFont="1" applyBorder="1"/>
    <xf numFmtId="0" fontId="2" fillId="0" borderId="17" xfId="0" applyFont="1" applyBorder="1"/>
    <xf numFmtId="0" fontId="3" fillId="0" borderId="17" xfId="0" applyFont="1" applyBorder="1"/>
    <xf numFmtId="10" fontId="14" fillId="0" borderId="18" xfId="0" applyNumberFormat="1" applyFont="1" applyBorder="1"/>
    <xf numFmtId="0" fontId="0" fillId="3" borderId="19" xfId="0" applyFill="1" applyBorder="1"/>
    <xf numFmtId="0" fontId="6" fillId="0" borderId="17" xfId="0" applyFont="1" applyBorder="1"/>
    <xf numFmtId="10" fontId="15" fillId="0" borderId="18" xfId="0" applyNumberFormat="1" applyFont="1" applyBorder="1"/>
    <xf numFmtId="10" fontId="10" fillId="0" borderId="18" xfId="0" applyNumberFormat="1" applyFont="1" applyBorder="1"/>
    <xf numFmtId="0" fontId="0" fillId="3" borderId="3" xfId="0" applyFill="1" applyBorder="1"/>
    <xf numFmtId="0" fontId="2" fillId="0" borderId="20" xfId="0" applyFont="1" applyBorder="1"/>
    <xf numFmtId="0" fontId="8" fillId="0" borderId="17" xfId="0" applyFont="1" applyBorder="1"/>
    <xf numFmtId="10" fontId="16" fillId="0" borderId="18" xfId="0" applyNumberFormat="1" applyFont="1" applyBorder="1"/>
    <xf numFmtId="10" fontId="15" fillId="0" borderId="17" xfId="0" applyNumberFormat="1" applyFont="1" applyBorder="1"/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0" fillId="0" borderId="10" xfId="0" applyBorder="1" applyAlignment="1">
      <alignment horizontal="center"/>
    </xf>
    <xf numFmtId="0" fontId="7" fillId="0" borderId="4" xfId="0" applyFont="1" applyBorder="1"/>
    <xf numFmtId="0" fontId="0" fillId="4" borderId="4" xfId="0" applyFill="1" applyBorder="1"/>
    <xf numFmtId="0" fontId="21" fillId="0" borderId="4" xfId="0" applyFont="1" applyBorder="1" applyAlignment="1">
      <alignment horizontal="right"/>
    </xf>
    <xf numFmtId="0" fontId="7" fillId="0" borderId="7" xfId="0" applyFont="1" applyBorder="1"/>
    <xf numFmtId="3" fontId="7" fillId="0" borderId="15" xfId="0" applyNumberFormat="1" applyFont="1" applyBorder="1"/>
    <xf numFmtId="0" fontId="20" fillId="0" borderId="0" xfId="0" applyFont="1"/>
    <xf numFmtId="0" fontId="19" fillId="0" borderId="0" xfId="0" applyFont="1"/>
    <xf numFmtId="3" fontId="0" fillId="0" borderId="21" xfId="0" applyNumberFormat="1" applyBorder="1"/>
    <xf numFmtId="3" fontId="7" fillId="0" borderId="21" xfId="0" applyNumberFormat="1" applyFont="1" applyBorder="1"/>
    <xf numFmtId="3" fontId="21" fillId="0" borderId="21" xfId="0" applyNumberFormat="1" applyFont="1" applyBorder="1" applyAlignment="1">
      <alignment horizontal="left"/>
    </xf>
    <xf numFmtId="3" fontId="0" fillId="0" borderId="0" xfId="0" applyNumberFormat="1"/>
    <xf numFmtId="3" fontId="20" fillId="0" borderId="0" xfId="0" applyNumberFormat="1" applyFont="1"/>
    <xf numFmtId="3" fontId="0" fillId="0" borderId="10" xfId="0" applyNumberFormat="1" applyBorder="1" applyAlignment="1">
      <alignment horizontal="center"/>
    </xf>
    <xf numFmtId="3" fontId="22" fillId="0" borderId="21" xfId="0" applyNumberFormat="1" applyFont="1" applyBorder="1" applyAlignment="1">
      <alignment horizontal="left"/>
    </xf>
    <xf numFmtId="3" fontId="9" fillId="0" borderId="21" xfId="0" applyNumberFormat="1" applyFont="1" applyBorder="1"/>
    <xf numFmtId="0" fontId="7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49" fontId="7" fillId="0" borderId="15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21" xfId="0" applyNumberFormat="1" applyBorder="1"/>
    <xf numFmtId="164" fontId="0" fillId="0" borderId="0" xfId="0" applyNumberFormat="1"/>
    <xf numFmtId="164" fontId="20" fillId="0" borderId="0" xfId="0" applyNumberFormat="1" applyFont="1"/>
    <xf numFmtId="3" fontId="0" fillId="0" borderId="21" xfId="0" applyNumberFormat="1" applyBorder="1" applyAlignment="1">
      <alignment horizontal="left"/>
    </xf>
    <xf numFmtId="164" fontId="0" fillId="0" borderId="21" xfId="0" applyNumberFormat="1" applyBorder="1" applyAlignment="1">
      <alignment horizontal="left"/>
    </xf>
    <xf numFmtId="0" fontId="9" fillId="0" borderId="4" xfId="0" applyFont="1" applyBorder="1"/>
    <xf numFmtId="0" fontId="7" fillId="0" borderId="10" xfId="0" applyFont="1" applyBorder="1" applyAlignment="1">
      <alignment horizontal="center" vertical="center"/>
    </xf>
    <xf numFmtId="3" fontId="7" fillId="0" borderId="5" xfId="0" applyNumberFormat="1" applyFont="1" applyBorder="1"/>
    <xf numFmtId="3" fontId="17" fillId="0" borderId="15" xfId="0" applyNumberFormat="1" applyFont="1" applyBorder="1"/>
    <xf numFmtId="164" fontId="7" fillId="0" borderId="15" xfId="0" applyNumberFormat="1" applyFont="1" applyBorder="1"/>
    <xf numFmtId="3" fontId="0" fillId="0" borderId="5" xfId="0" applyNumberFormat="1" applyBorder="1"/>
    <xf numFmtId="3" fontId="7" fillId="0" borderId="9" xfId="0" applyNumberFormat="1" applyFont="1" applyBorder="1"/>
    <xf numFmtId="0" fontId="7" fillId="0" borderId="10" xfId="0" applyFont="1" applyBorder="1"/>
    <xf numFmtId="0" fontId="0" fillId="0" borderId="21" xfId="0" applyBorder="1"/>
    <xf numFmtId="0" fontId="17" fillId="0" borderId="7" xfId="0" applyFont="1" applyBorder="1"/>
    <xf numFmtId="0" fontId="17" fillId="0" borderId="15" xfId="0" applyFont="1" applyBorder="1"/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4" fontId="23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1743D78-B199-46AF-9CB5-99B8ACF7CA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339726</xdr:colOff>
      <xdr:row>0</xdr:row>
      <xdr:rowOff>0</xdr:rowOff>
    </xdr:from>
    <xdr:to>
      <xdr:col>0</xdr:col>
      <xdr:colOff>682625</xdr:colOff>
      <xdr:row>1</xdr:row>
      <xdr:rowOff>9524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6F1256E5-E5E6-461F-A84C-C9A61FC3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726" y="0"/>
          <a:ext cx="342899" cy="327024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B993-2876-464A-8624-AD329DA3D6B5}">
  <sheetPr codeName="Foglio1"/>
  <dimension ref="A1:J157"/>
  <sheetViews>
    <sheetView tabSelected="1" topLeftCell="A55" zoomScale="115" zoomScaleNormal="115" workbookViewId="0">
      <selection activeCell="J65" sqref="J65"/>
    </sheetView>
  </sheetViews>
  <sheetFormatPr defaultColWidth="9.140625" defaultRowHeight="12.75" x14ac:dyDescent="0.2"/>
  <cols>
    <col min="1" max="1" width="20.7109375" style="65" customWidth="1"/>
    <col min="2" max="2" width="11.7109375" style="65" customWidth="1"/>
    <col min="3" max="3" width="12.7109375" style="71" customWidth="1"/>
    <col min="4" max="4" width="10.7109375" style="65" customWidth="1"/>
    <col min="5" max="5" width="10.7109375" style="82" customWidth="1"/>
    <col min="6" max="16384" width="9.140625" style="65"/>
  </cols>
  <sheetData>
    <row r="1" spans="1:9" ht="24.95" customHeight="1" thickBot="1" x14ac:dyDescent="0.25">
      <c r="A1" s="77"/>
      <c r="B1" s="96" t="s">
        <v>155</v>
      </c>
      <c r="C1" s="97"/>
      <c r="D1" s="97"/>
      <c r="E1" s="98"/>
    </row>
    <row r="2" spans="1:9" ht="15.95" customHeight="1" thickBot="1" x14ac:dyDescent="0.25">
      <c r="A2" s="76" t="s">
        <v>150</v>
      </c>
      <c r="B2" s="96" t="s">
        <v>151</v>
      </c>
      <c r="C2" s="98"/>
      <c r="D2" s="99" t="s">
        <v>152</v>
      </c>
      <c r="E2" s="101" t="s">
        <v>153</v>
      </c>
      <c r="G2" t="s">
        <v>103</v>
      </c>
    </row>
    <row r="3" spans="1:9" ht="18" customHeight="1" thickBot="1" x14ac:dyDescent="0.25">
      <c r="A3" s="75" t="s">
        <v>140</v>
      </c>
      <c r="B3" s="58" t="s">
        <v>154</v>
      </c>
      <c r="C3" s="78"/>
      <c r="D3" s="100"/>
      <c r="E3" s="102"/>
    </row>
    <row r="4" spans="1:9" ht="13.5" customHeight="1" x14ac:dyDescent="0.2">
      <c r="A4" s="57"/>
      <c r="B4" s="86"/>
      <c r="C4" s="72"/>
      <c r="D4" s="59"/>
      <c r="E4" s="79"/>
    </row>
    <row r="5" spans="1:9" x14ac:dyDescent="0.2">
      <c r="A5" s="28" t="s">
        <v>0</v>
      </c>
      <c r="B5" s="67">
        <v>286</v>
      </c>
      <c r="C5" s="67"/>
      <c r="D5" s="67">
        <f t="shared" ref="D5:D10" si="0">B5-C5</f>
        <v>286</v>
      </c>
      <c r="E5" s="80" t="e">
        <f t="shared" ref="E5:E10" si="1">D5/C5%</f>
        <v>#DIV/0!</v>
      </c>
    </row>
    <row r="6" spans="1:9" x14ac:dyDescent="0.2">
      <c r="A6" s="28" t="s">
        <v>1</v>
      </c>
      <c r="B6" s="67">
        <v>3522</v>
      </c>
      <c r="C6" s="67"/>
      <c r="D6" s="67">
        <f t="shared" si="0"/>
        <v>3522</v>
      </c>
      <c r="E6" s="80" t="e">
        <f t="shared" si="1"/>
        <v>#DIV/0!</v>
      </c>
      <c r="I6" s="71"/>
    </row>
    <row r="7" spans="1:9" x14ac:dyDescent="0.2">
      <c r="A7" s="28" t="s">
        <v>2</v>
      </c>
      <c r="B7" s="67">
        <v>904</v>
      </c>
      <c r="C7" s="67"/>
      <c r="D7" s="67">
        <f t="shared" si="0"/>
        <v>904</v>
      </c>
      <c r="E7" s="80" t="e">
        <f t="shared" si="1"/>
        <v>#DIV/0!</v>
      </c>
    </row>
    <row r="8" spans="1:9" x14ac:dyDescent="0.2">
      <c r="A8" s="28" t="s">
        <v>3</v>
      </c>
      <c r="B8" s="67">
        <v>2975</v>
      </c>
      <c r="C8" s="67"/>
      <c r="D8" s="67">
        <f t="shared" si="0"/>
        <v>2975</v>
      </c>
      <c r="E8" s="80" t="e">
        <f t="shared" si="1"/>
        <v>#DIV/0!</v>
      </c>
      <c r="G8" s="65" t="s">
        <v>103</v>
      </c>
      <c r="I8" s="71"/>
    </row>
    <row r="9" spans="1:9" ht="13.5" thickBot="1" x14ac:dyDescent="0.25">
      <c r="A9" s="28" t="s">
        <v>4</v>
      </c>
      <c r="B9" s="67">
        <v>751</v>
      </c>
      <c r="C9" s="67"/>
      <c r="D9" s="67">
        <f t="shared" si="0"/>
        <v>751</v>
      </c>
      <c r="E9" s="80" t="e">
        <f t="shared" si="1"/>
        <v>#DIV/0!</v>
      </c>
    </row>
    <row r="10" spans="1:9" ht="13.5" thickBot="1" x14ac:dyDescent="0.25">
      <c r="A10" s="94" t="s">
        <v>5</v>
      </c>
      <c r="B10" s="64">
        <v>8438</v>
      </c>
      <c r="C10" s="64"/>
      <c r="D10" s="64">
        <f t="shared" si="0"/>
        <v>8438</v>
      </c>
      <c r="E10" s="89" t="e">
        <f t="shared" si="1"/>
        <v>#DIV/0!</v>
      </c>
      <c r="F10" s="65">
        <v>98765</v>
      </c>
      <c r="I10" s="71"/>
    </row>
    <row r="11" spans="1:9" x14ac:dyDescent="0.2">
      <c r="A11" s="60"/>
      <c r="B11" s="67"/>
      <c r="C11" s="67"/>
      <c r="D11" s="67" t="s">
        <v>103</v>
      </c>
      <c r="E11" s="80" t="s">
        <v>103</v>
      </c>
    </row>
    <row r="12" spans="1:9" x14ac:dyDescent="0.2">
      <c r="A12" s="28" t="s">
        <v>121</v>
      </c>
      <c r="B12" s="67">
        <v>461</v>
      </c>
      <c r="C12" s="67"/>
      <c r="D12" s="67">
        <f>B12-C12</f>
        <v>461</v>
      </c>
      <c r="E12" s="80" t="e">
        <f>D12/C12%</f>
        <v>#DIV/0!</v>
      </c>
    </row>
    <row r="13" spans="1:9" ht="13.5" thickBot="1" x14ac:dyDescent="0.25">
      <c r="A13" s="28" t="s">
        <v>122</v>
      </c>
      <c r="B13" s="67">
        <v>490</v>
      </c>
      <c r="C13" s="67"/>
      <c r="D13" s="67">
        <f>B13-C13</f>
        <v>490</v>
      </c>
      <c r="E13" s="80" t="e">
        <f>D13/C13%</f>
        <v>#DIV/0!</v>
      </c>
    </row>
    <row r="14" spans="1:9" ht="13.5" thickBot="1" x14ac:dyDescent="0.25">
      <c r="A14" s="94" t="s">
        <v>6</v>
      </c>
      <c r="B14" s="64">
        <v>951</v>
      </c>
      <c r="C14" s="64"/>
      <c r="D14" s="64">
        <f>B14-C14</f>
        <v>951</v>
      </c>
      <c r="E14" s="89" t="e">
        <f>D14/C14%</f>
        <v>#DIV/0!</v>
      </c>
      <c r="F14" s="65">
        <v>98765</v>
      </c>
    </row>
    <row r="15" spans="1:9" x14ac:dyDescent="0.2">
      <c r="A15" s="28"/>
      <c r="B15" s="67"/>
      <c r="C15" s="67"/>
      <c r="D15" s="67" t="s">
        <v>103</v>
      </c>
      <c r="E15" s="80" t="s">
        <v>103</v>
      </c>
      <c r="F15" s="66"/>
    </row>
    <row r="16" spans="1:9" x14ac:dyDescent="0.2">
      <c r="A16" s="28" t="s">
        <v>7</v>
      </c>
      <c r="B16" s="67">
        <v>1618</v>
      </c>
      <c r="C16" s="67"/>
      <c r="D16" s="67">
        <f t="shared" ref="D16:D21" si="2">B16-C16</f>
        <v>1618</v>
      </c>
      <c r="E16" s="80" t="e">
        <f t="shared" ref="E16:E21" si="3">D16/C16%</f>
        <v>#DIV/0!</v>
      </c>
      <c r="I16" s="71"/>
    </row>
    <row r="17" spans="1:9" x14ac:dyDescent="0.2">
      <c r="A17" s="28" t="s">
        <v>8</v>
      </c>
      <c r="B17" s="67">
        <v>1361</v>
      </c>
      <c r="C17" s="67"/>
      <c r="D17" s="67">
        <f t="shared" si="2"/>
        <v>1361</v>
      </c>
      <c r="E17" s="80" t="e">
        <f t="shared" si="3"/>
        <v>#DIV/0!</v>
      </c>
      <c r="I17" s="71"/>
    </row>
    <row r="18" spans="1:9" x14ac:dyDescent="0.2">
      <c r="A18" s="28" t="s">
        <v>9</v>
      </c>
      <c r="B18" s="67">
        <v>354</v>
      </c>
      <c r="C18" s="67"/>
      <c r="D18" s="67">
        <f t="shared" si="2"/>
        <v>354</v>
      </c>
      <c r="E18" s="80" t="e">
        <f t="shared" si="3"/>
        <v>#DIV/0!</v>
      </c>
    </row>
    <row r="19" spans="1:9" x14ac:dyDescent="0.2">
      <c r="A19" s="28" t="s">
        <v>10</v>
      </c>
      <c r="B19" s="67">
        <v>567</v>
      </c>
      <c r="C19" s="67"/>
      <c r="D19" s="67">
        <f t="shared" si="2"/>
        <v>567</v>
      </c>
      <c r="E19" s="80" t="e">
        <f t="shared" si="3"/>
        <v>#DIV/0!</v>
      </c>
    </row>
    <row r="20" spans="1:9" ht="13.5" thickBot="1" x14ac:dyDescent="0.25">
      <c r="A20" s="28" t="s">
        <v>11</v>
      </c>
      <c r="B20" s="67">
        <v>769</v>
      </c>
      <c r="C20" s="67"/>
      <c r="D20" s="67">
        <f t="shared" si="2"/>
        <v>769</v>
      </c>
      <c r="E20" s="80" t="e">
        <f t="shared" si="3"/>
        <v>#DIV/0!</v>
      </c>
    </row>
    <row r="21" spans="1:9" ht="13.5" thickBot="1" x14ac:dyDescent="0.25">
      <c r="A21" s="94" t="s">
        <v>12</v>
      </c>
      <c r="B21" s="64">
        <v>4669</v>
      </c>
      <c r="C21" s="64"/>
      <c r="D21" s="64">
        <f t="shared" si="2"/>
        <v>4669</v>
      </c>
      <c r="E21" s="89" t="e">
        <f t="shared" si="3"/>
        <v>#DIV/0!</v>
      </c>
      <c r="F21" s="65">
        <v>98765</v>
      </c>
      <c r="I21" s="71"/>
    </row>
    <row r="22" spans="1:9" x14ac:dyDescent="0.2">
      <c r="A22" s="28"/>
      <c r="B22" s="67"/>
      <c r="C22" s="67"/>
      <c r="D22" s="67" t="s">
        <v>103</v>
      </c>
      <c r="E22" s="80" t="s">
        <v>103</v>
      </c>
    </row>
    <row r="23" spans="1:9" x14ac:dyDescent="0.2">
      <c r="A23" s="28" t="s">
        <v>13</v>
      </c>
      <c r="B23" s="67">
        <v>2825</v>
      </c>
      <c r="C23" s="67"/>
      <c r="D23" s="67">
        <f t="shared" ref="D23:D28" si="4">B23-C23</f>
        <v>2825</v>
      </c>
      <c r="E23" s="80" t="e">
        <f t="shared" ref="E23:E28" si="5">D23/C23%</f>
        <v>#DIV/0!</v>
      </c>
      <c r="I23" s="71"/>
    </row>
    <row r="24" spans="1:9" x14ac:dyDescent="0.2">
      <c r="A24" s="28" t="s">
        <v>14</v>
      </c>
      <c r="B24" s="67">
        <v>1764</v>
      </c>
      <c r="C24" s="67"/>
      <c r="D24" s="67">
        <f t="shared" si="4"/>
        <v>1764</v>
      </c>
      <c r="E24" s="80" t="e">
        <f t="shared" si="5"/>
        <v>#DIV/0!</v>
      </c>
      <c r="I24" s="71"/>
    </row>
    <row r="25" spans="1:9" x14ac:dyDescent="0.2">
      <c r="A25" s="28" t="s">
        <v>15</v>
      </c>
      <c r="B25" s="67">
        <v>2038</v>
      </c>
      <c r="C25" s="67"/>
      <c r="D25" s="67">
        <f t="shared" si="4"/>
        <v>2038</v>
      </c>
      <c r="E25" s="80" t="e">
        <f t="shared" si="5"/>
        <v>#DIV/0!</v>
      </c>
      <c r="I25" s="71"/>
    </row>
    <row r="26" spans="1:9" x14ac:dyDescent="0.2">
      <c r="A26" s="28" t="s">
        <v>16</v>
      </c>
      <c r="B26" s="67">
        <v>1965</v>
      </c>
      <c r="C26" s="67"/>
      <c r="D26" s="67">
        <f t="shared" si="4"/>
        <v>1965</v>
      </c>
      <c r="E26" s="80" t="e">
        <f t="shared" si="5"/>
        <v>#DIV/0!</v>
      </c>
      <c r="I26" s="71"/>
    </row>
    <row r="27" spans="1:9" ht="13.5" thickBot="1" x14ac:dyDescent="0.25">
      <c r="A27" s="28" t="s">
        <v>17</v>
      </c>
      <c r="B27" s="67">
        <v>3369</v>
      </c>
      <c r="C27" s="67"/>
      <c r="D27" s="67">
        <f t="shared" si="4"/>
        <v>3369</v>
      </c>
      <c r="E27" s="80" t="e">
        <f t="shared" si="5"/>
        <v>#DIV/0!</v>
      </c>
      <c r="I27" s="71"/>
    </row>
    <row r="28" spans="1:9" ht="13.5" thickBot="1" x14ac:dyDescent="0.25">
      <c r="A28" s="94" t="s">
        <v>18</v>
      </c>
      <c r="B28" s="64">
        <v>11961</v>
      </c>
      <c r="C28" s="64"/>
      <c r="D28" s="64">
        <f t="shared" si="4"/>
        <v>11961</v>
      </c>
      <c r="E28" s="89" t="e">
        <f t="shared" si="5"/>
        <v>#DIV/0!</v>
      </c>
      <c r="F28" s="65">
        <v>98765</v>
      </c>
      <c r="I28" s="71"/>
    </row>
    <row r="29" spans="1:9" x14ac:dyDescent="0.2">
      <c r="A29" s="28"/>
      <c r="B29" s="67"/>
      <c r="C29" s="67"/>
      <c r="D29" s="67" t="s">
        <v>103</v>
      </c>
      <c r="E29" s="80" t="s">
        <v>103</v>
      </c>
    </row>
    <row r="30" spans="1:9" x14ac:dyDescent="0.2">
      <c r="A30" s="28" t="s">
        <v>19</v>
      </c>
      <c r="B30" s="67">
        <v>8701</v>
      </c>
      <c r="C30" s="67"/>
      <c r="D30" s="67">
        <f t="shared" ref="D30:D40" si="6">B30-C30</f>
        <v>8701</v>
      </c>
      <c r="E30" s="80" t="e">
        <f t="shared" ref="E30:E40" si="7">D30/C30%</f>
        <v>#DIV/0!</v>
      </c>
      <c r="I30" s="71"/>
    </row>
    <row r="31" spans="1:9" x14ac:dyDescent="0.2">
      <c r="A31" s="28" t="s">
        <v>20</v>
      </c>
      <c r="B31" s="67">
        <v>3122</v>
      </c>
      <c r="C31" s="67"/>
      <c r="D31" s="67">
        <f t="shared" si="6"/>
        <v>3122</v>
      </c>
      <c r="E31" s="80" t="e">
        <f t="shared" si="7"/>
        <v>#DIV/0!</v>
      </c>
      <c r="I31" s="71"/>
    </row>
    <row r="32" spans="1:9" x14ac:dyDescent="0.2">
      <c r="A32" s="28" t="s">
        <v>21</v>
      </c>
      <c r="B32" s="67">
        <v>7737</v>
      </c>
      <c r="C32" s="67"/>
      <c r="D32" s="67">
        <f t="shared" si="6"/>
        <v>7737</v>
      </c>
      <c r="E32" s="80" t="e">
        <f t="shared" si="7"/>
        <v>#DIV/0!</v>
      </c>
      <c r="I32" s="71"/>
    </row>
    <row r="33" spans="1:9" x14ac:dyDescent="0.2">
      <c r="A33" s="28" t="s">
        <v>22</v>
      </c>
      <c r="B33" s="67">
        <v>1643</v>
      </c>
      <c r="C33" s="67"/>
      <c r="D33" s="67">
        <f t="shared" si="6"/>
        <v>1643</v>
      </c>
      <c r="E33" s="80" t="e">
        <f t="shared" si="7"/>
        <v>#DIV/0!</v>
      </c>
      <c r="I33" s="71"/>
    </row>
    <row r="34" spans="1:9" x14ac:dyDescent="0.2">
      <c r="A34" s="28" t="s">
        <v>23</v>
      </c>
      <c r="B34" s="67">
        <v>15516</v>
      </c>
      <c r="C34" s="67"/>
      <c r="D34" s="67">
        <f t="shared" si="6"/>
        <v>15516</v>
      </c>
      <c r="E34" s="80" t="e">
        <f t="shared" si="7"/>
        <v>#DIV/0!</v>
      </c>
      <c r="I34" s="71"/>
    </row>
    <row r="35" spans="1:9" x14ac:dyDescent="0.2">
      <c r="A35" s="28" t="s">
        <v>24</v>
      </c>
      <c r="B35" s="67">
        <v>3936</v>
      </c>
      <c r="C35" s="67"/>
      <c r="D35" s="67">
        <f t="shared" si="6"/>
        <v>3936</v>
      </c>
      <c r="E35" s="80" t="e">
        <f t="shared" si="7"/>
        <v>#DIV/0!</v>
      </c>
      <c r="I35" s="71"/>
    </row>
    <row r="36" spans="1:9" x14ac:dyDescent="0.2">
      <c r="A36" s="28" t="s">
        <v>25</v>
      </c>
      <c r="B36" s="67">
        <v>923</v>
      </c>
      <c r="C36" s="67"/>
      <c r="D36" s="67">
        <f t="shared" si="6"/>
        <v>923</v>
      </c>
      <c r="E36" s="80" t="e">
        <f t="shared" si="7"/>
        <v>#DIV/0!</v>
      </c>
    </row>
    <row r="37" spans="1:9" x14ac:dyDescent="0.2">
      <c r="A37" s="28" t="s">
        <v>26</v>
      </c>
      <c r="B37" s="67">
        <v>4317</v>
      </c>
      <c r="C37" s="67"/>
      <c r="D37" s="67">
        <f t="shared" si="6"/>
        <v>4317</v>
      </c>
      <c r="E37" s="80" t="e">
        <f t="shared" si="7"/>
        <v>#DIV/0!</v>
      </c>
      <c r="I37" s="71"/>
    </row>
    <row r="38" spans="1:9" x14ac:dyDescent="0.2">
      <c r="A38" s="28" t="s">
        <v>27</v>
      </c>
      <c r="B38" s="67">
        <v>9421</v>
      </c>
      <c r="C38" s="67"/>
      <c r="D38" s="67">
        <f t="shared" si="6"/>
        <v>9421</v>
      </c>
      <c r="E38" s="80" t="e">
        <f t="shared" si="7"/>
        <v>#DIV/0!</v>
      </c>
      <c r="I38" s="71"/>
    </row>
    <row r="39" spans="1:9" ht="13.5" thickBot="1" x14ac:dyDescent="0.25">
      <c r="A39" s="28" t="s">
        <v>28</v>
      </c>
      <c r="B39" s="67">
        <v>2158</v>
      </c>
      <c r="C39" s="67"/>
      <c r="D39" s="67">
        <f t="shared" si="6"/>
        <v>2158</v>
      </c>
      <c r="E39" s="80" t="e">
        <f t="shared" si="7"/>
        <v>#DIV/0!</v>
      </c>
      <c r="I39" s="71"/>
    </row>
    <row r="40" spans="1:9" ht="13.5" thickBot="1" x14ac:dyDescent="0.25">
      <c r="A40" s="94" t="s">
        <v>29</v>
      </c>
      <c r="B40" s="64">
        <v>57474</v>
      </c>
      <c r="C40" s="64"/>
      <c r="D40" s="64">
        <f t="shared" si="6"/>
        <v>57474</v>
      </c>
      <c r="E40" s="89" t="e">
        <f t="shared" si="7"/>
        <v>#DIV/0!</v>
      </c>
      <c r="F40" s="65">
        <v>98765</v>
      </c>
      <c r="I40" s="71"/>
    </row>
    <row r="41" spans="1:9" x14ac:dyDescent="0.2">
      <c r="A41" s="60"/>
      <c r="B41" s="68"/>
      <c r="C41" s="68"/>
      <c r="D41" s="67" t="s">
        <v>103</v>
      </c>
      <c r="E41" s="80" t="s">
        <v>103</v>
      </c>
    </row>
    <row r="42" spans="1:9" x14ac:dyDescent="0.2">
      <c r="A42" s="28" t="s">
        <v>123</v>
      </c>
      <c r="B42" s="67">
        <v>86</v>
      </c>
      <c r="C42" s="67"/>
      <c r="D42" s="67">
        <f>B42-C42</f>
        <v>86</v>
      </c>
      <c r="E42" s="80" t="e">
        <f>D42/C42%</f>
        <v>#DIV/0!</v>
      </c>
    </row>
    <row r="43" spans="1:9" x14ac:dyDescent="0.2">
      <c r="A43" s="28" t="s">
        <v>124</v>
      </c>
      <c r="B43" s="67">
        <v>296</v>
      </c>
      <c r="C43" s="67"/>
      <c r="D43" s="67">
        <f>B43-C43</f>
        <v>296</v>
      </c>
      <c r="E43" s="80" t="e">
        <f>D43/C43%</f>
        <v>#DIV/0!</v>
      </c>
    </row>
    <row r="44" spans="1:9" x14ac:dyDescent="0.2">
      <c r="A44" s="28" t="s">
        <v>125</v>
      </c>
      <c r="B44" s="67">
        <v>318</v>
      </c>
      <c r="C44" s="67"/>
      <c r="D44" s="67">
        <f>B44-C44</f>
        <v>318</v>
      </c>
      <c r="E44" s="80" t="e">
        <f>D44/C44%</f>
        <v>#DIV/0!</v>
      </c>
    </row>
    <row r="45" spans="1:9" ht="13.5" thickBot="1" x14ac:dyDescent="0.25">
      <c r="A45" s="28" t="s">
        <v>126</v>
      </c>
      <c r="B45" s="67">
        <v>1837</v>
      </c>
      <c r="C45" s="67"/>
      <c r="D45" s="67">
        <f>B45-C45</f>
        <v>1837</v>
      </c>
      <c r="E45" s="80" t="e">
        <f>D45/C45%</f>
        <v>#DIV/0!</v>
      </c>
      <c r="I45" s="71"/>
    </row>
    <row r="46" spans="1:9" ht="13.5" thickBot="1" x14ac:dyDescent="0.25">
      <c r="A46" s="94" t="s">
        <v>30</v>
      </c>
      <c r="B46" s="64">
        <v>2537</v>
      </c>
      <c r="C46" s="64"/>
      <c r="D46" s="64">
        <f>B46-C46</f>
        <v>2537</v>
      </c>
      <c r="E46" s="89" t="e">
        <f>D46/C46%</f>
        <v>#DIV/0!</v>
      </c>
      <c r="F46" s="65">
        <v>98765</v>
      </c>
      <c r="I46" s="71"/>
    </row>
    <row r="47" spans="1:9" x14ac:dyDescent="0.2">
      <c r="A47" s="28"/>
      <c r="B47" s="68"/>
      <c r="C47" s="68"/>
      <c r="D47" s="67" t="s">
        <v>103</v>
      </c>
      <c r="E47" s="80" t="s">
        <v>103</v>
      </c>
    </row>
    <row r="48" spans="1:9" x14ac:dyDescent="0.2">
      <c r="A48" s="28" t="s">
        <v>141</v>
      </c>
      <c r="B48" s="67">
        <v>597</v>
      </c>
      <c r="C48" s="67"/>
      <c r="D48" s="67">
        <f t="shared" ref="D48:D54" si="8">B48-C48</f>
        <v>597</v>
      </c>
      <c r="E48" s="80" t="e">
        <f t="shared" ref="E48:E54" si="9">D48/C48%</f>
        <v>#DIV/0!</v>
      </c>
    </row>
    <row r="49" spans="1:9" x14ac:dyDescent="0.2">
      <c r="A49" s="28" t="s">
        <v>31</v>
      </c>
      <c r="B49" s="67">
        <v>764</v>
      </c>
      <c r="C49" s="67"/>
      <c r="D49" s="67">
        <f t="shared" si="8"/>
        <v>764</v>
      </c>
      <c r="E49" s="80" t="e">
        <f t="shared" si="9"/>
        <v>#DIV/0!</v>
      </c>
    </row>
    <row r="50" spans="1:9" x14ac:dyDescent="0.2">
      <c r="A50" s="28" t="s">
        <v>32</v>
      </c>
      <c r="B50" s="67">
        <v>1349</v>
      </c>
      <c r="C50" s="67"/>
      <c r="D50" s="67">
        <f t="shared" si="8"/>
        <v>1349</v>
      </c>
      <c r="E50" s="80" t="e">
        <f t="shared" si="9"/>
        <v>#DIV/0!</v>
      </c>
      <c r="I50" s="71"/>
    </row>
    <row r="51" spans="1:9" x14ac:dyDescent="0.2">
      <c r="A51" s="28" t="s">
        <v>33</v>
      </c>
      <c r="B51" s="67">
        <v>125</v>
      </c>
      <c r="C51" s="67"/>
      <c r="D51" s="67">
        <f t="shared" si="8"/>
        <v>125</v>
      </c>
      <c r="E51" s="80" t="e">
        <f t="shared" si="9"/>
        <v>#DIV/0!</v>
      </c>
    </row>
    <row r="52" spans="1:9" x14ac:dyDescent="0.2">
      <c r="A52" s="28" t="s">
        <v>34</v>
      </c>
      <c r="B52" s="67">
        <v>5534</v>
      </c>
      <c r="C52" s="67"/>
      <c r="D52" s="67">
        <f t="shared" si="8"/>
        <v>5534</v>
      </c>
      <c r="E52" s="80" t="e">
        <f t="shared" si="9"/>
        <v>#DIV/0!</v>
      </c>
      <c r="I52" s="71"/>
    </row>
    <row r="53" spans="1:9" ht="13.5" thickBot="1" x14ac:dyDescent="0.25">
      <c r="A53" s="28" t="s">
        <v>148</v>
      </c>
      <c r="B53" s="67">
        <v>2961</v>
      </c>
      <c r="C53" s="67"/>
      <c r="D53" s="67">
        <f t="shared" si="8"/>
        <v>2961</v>
      </c>
      <c r="E53" s="80" t="e">
        <f t="shared" si="9"/>
        <v>#DIV/0!</v>
      </c>
      <c r="I53" s="71"/>
    </row>
    <row r="54" spans="1:9" ht="13.5" thickBot="1" x14ac:dyDescent="0.25">
      <c r="A54" s="94" t="s">
        <v>35</v>
      </c>
      <c r="B54" s="64">
        <v>11330</v>
      </c>
      <c r="C54" s="64"/>
      <c r="D54" s="64">
        <f t="shared" si="8"/>
        <v>11330</v>
      </c>
      <c r="E54" s="89" t="e">
        <f t="shared" si="9"/>
        <v>#DIV/0!</v>
      </c>
      <c r="F54" s="65">
        <v>98765</v>
      </c>
      <c r="I54" s="71"/>
    </row>
    <row r="55" spans="1:9" x14ac:dyDescent="0.2">
      <c r="A55" s="28"/>
      <c r="B55" s="67"/>
      <c r="C55" s="67"/>
      <c r="D55" s="67" t="s">
        <v>103</v>
      </c>
      <c r="E55" s="80" t="s">
        <v>103</v>
      </c>
    </row>
    <row r="56" spans="1:9" x14ac:dyDescent="0.2">
      <c r="A56" s="28" t="s">
        <v>36</v>
      </c>
      <c r="B56" s="67">
        <v>2126</v>
      </c>
      <c r="C56" s="67"/>
      <c r="D56" s="67">
        <f>B56-C56</f>
        <v>2126</v>
      </c>
      <c r="E56" s="80" t="e">
        <f>D56/C56%</f>
        <v>#DIV/0!</v>
      </c>
      <c r="I56" s="71"/>
    </row>
    <row r="57" spans="1:9" x14ac:dyDescent="0.2">
      <c r="A57" s="28" t="s">
        <v>37</v>
      </c>
      <c r="B57" s="67">
        <v>2268</v>
      </c>
      <c r="C57" s="67"/>
      <c r="D57" s="67">
        <f>B57-C57</f>
        <v>2268</v>
      </c>
      <c r="E57" s="80" t="e">
        <f>D57/C57%</f>
        <v>#DIV/0!</v>
      </c>
      <c r="I57" s="71"/>
    </row>
    <row r="58" spans="1:9" x14ac:dyDescent="0.2">
      <c r="A58" s="28" t="s">
        <v>38</v>
      </c>
      <c r="B58" s="67">
        <v>1846</v>
      </c>
      <c r="C58" s="67"/>
      <c r="D58" s="67">
        <f>B58-C58</f>
        <v>1846</v>
      </c>
      <c r="E58" s="80" t="e">
        <f>D58/C58%</f>
        <v>#DIV/0!</v>
      </c>
      <c r="I58" s="71"/>
    </row>
    <row r="59" spans="1:9" ht="13.5" thickBot="1" x14ac:dyDescent="0.25">
      <c r="A59" s="28" t="s">
        <v>39</v>
      </c>
      <c r="B59" s="67">
        <v>1179</v>
      </c>
      <c r="C59" s="67"/>
      <c r="D59" s="67">
        <f>B59-C59</f>
        <v>1179</v>
      </c>
      <c r="E59" s="80" t="e">
        <f>D59/C59%</f>
        <v>#DIV/0!</v>
      </c>
      <c r="I59" s="71"/>
    </row>
    <row r="60" spans="1:9" ht="13.5" thickBot="1" x14ac:dyDescent="0.25">
      <c r="A60" s="94" t="s">
        <v>40</v>
      </c>
      <c r="B60" s="64">
        <v>7419</v>
      </c>
      <c r="C60" s="64"/>
      <c r="D60" s="64">
        <f>B60-C60</f>
        <v>7419</v>
      </c>
      <c r="E60" s="89" t="e">
        <f>D60/C60%</f>
        <v>#DIV/0!</v>
      </c>
      <c r="F60" s="65">
        <v>98765</v>
      </c>
      <c r="I60" s="71"/>
    </row>
    <row r="61" spans="1:9" x14ac:dyDescent="0.2">
      <c r="A61" s="28"/>
      <c r="B61" s="67"/>
      <c r="C61" s="67"/>
      <c r="D61" s="67" t="s">
        <v>103</v>
      </c>
      <c r="E61" s="80" t="s">
        <v>103</v>
      </c>
    </row>
    <row r="62" spans="1:9" x14ac:dyDescent="0.2">
      <c r="A62" s="28" t="s">
        <v>41</v>
      </c>
      <c r="B62" s="67">
        <v>603</v>
      </c>
      <c r="C62" s="67"/>
      <c r="D62" s="67">
        <f t="shared" ref="D62:D71" si="10">B62-C62</f>
        <v>603</v>
      </c>
      <c r="E62" s="80" t="e">
        <f t="shared" ref="E62:E71" si="11">D62/C62%</f>
        <v>#DIV/0!</v>
      </c>
    </row>
    <row r="63" spans="1:9" x14ac:dyDescent="0.2">
      <c r="A63" s="28" t="s">
        <v>42</v>
      </c>
      <c r="B63" s="67">
        <v>880</v>
      </c>
      <c r="C63" s="67"/>
      <c r="D63" s="67">
        <f t="shared" si="10"/>
        <v>880</v>
      </c>
      <c r="E63" s="80" t="e">
        <f t="shared" si="11"/>
        <v>#DIV/0!</v>
      </c>
    </row>
    <row r="64" spans="1:9" x14ac:dyDescent="0.2">
      <c r="A64" s="61" t="s">
        <v>43</v>
      </c>
      <c r="B64" s="67">
        <v>891</v>
      </c>
      <c r="C64" s="67"/>
      <c r="D64" s="67">
        <f t="shared" si="10"/>
        <v>891</v>
      </c>
      <c r="E64" s="80" t="e">
        <f t="shared" si="11"/>
        <v>#DIV/0!</v>
      </c>
      <c r="I64" s="71"/>
    </row>
    <row r="65" spans="1:9" x14ac:dyDescent="0.2">
      <c r="A65" s="28" t="s">
        <v>156</v>
      </c>
      <c r="B65" s="67">
        <v>2741</v>
      </c>
      <c r="C65" s="67"/>
      <c r="D65" s="67">
        <f t="shared" si="10"/>
        <v>2741</v>
      </c>
      <c r="E65" s="80" t="e">
        <f t="shared" si="11"/>
        <v>#DIV/0!</v>
      </c>
      <c r="I65" s="71"/>
    </row>
    <row r="66" spans="1:9" x14ac:dyDescent="0.2">
      <c r="A66" s="28" t="s">
        <v>146</v>
      </c>
      <c r="B66" s="67">
        <v>24</v>
      </c>
      <c r="C66" s="67"/>
      <c r="D66" s="67">
        <f t="shared" si="10"/>
        <v>24</v>
      </c>
      <c r="E66" s="80" t="e">
        <f t="shared" si="11"/>
        <v>#DIV/0!</v>
      </c>
    </row>
    <row r="67" spans="1:9" x14ac:dyDescent="0.2">
      <c r="A67" s="28" t="s">
        <v>44</v>
      </c>
      <c r="B67" s="67">
        <v>383</v>
      </c>
      <c r="C67" s="67"/>
      <c r="D67" s="67">
        <f t="shared" si="10"/>
        <v>383</v>
      </c>
      <c r="E67" s="80" t="e">
        <f t="shared" si="11"/>
        <v>#DIV/0!</v>
      </c>
    </row>
    <row r="68" spans="1:9" x14ac:dyDescent="0.2">
      <c r="A68" s="61" t="s">
        <v>139</v>
      </c>
      <c r="B68" s="67">
        <v>1310</v>
      </c>
      <c r="C68" s="67"/>
      <c r="D68" s="67">
        <f t="shared" si="10"/>
        <v>1310</v>
      </c>
      <c r="E68" s="80" t="e">
        <f t="shared" si="11"/>
        <v>#DIV/0!</v>
      </c>
      <c r="I68" s="71"/>
    </row>
    <row r="69" spans="1:9" x14ac:dyDescent="0.2">
      <c r="A69" s="28" t="s">
        <v>45</v>
      </c>
      <c r="B69" s="67">
        <v>400</v>
      </c>
      <c r="C69" s="67"/>
      <c r="D69" s="67">
        <f t="shared" si="10"/>
        <v>400</v>
      </c>
      <c r="E69" s="80" t="e">
        <f t="shared" si="11"/>
        <v>#DIV/0!</v>
      </c>
    </row>
    <row r="70" spans="1:9" ht="13.5" thickBot="1" x14ac:dyDescent="0.25">
      <c r="A70" s="28" t="s">
        <v>46</v>
      </c>
      <c r="B70" s="67">
        <v>8</v>
      </c>
      <c r="C70" s="67"/>
      <c r="D70" s="67">
        <f t="shared" si="10"/>
        <v>8</v>
      </c>
      <c r="E70" s="80" t="e">
        <f t="shared" si="11"/>
        <v>#DIV/0!</v>
      </c>
    </row>
    <row r="71" spans="1:9" ht="13.5" thickBot="1" x14ac:dyDescent="0.25">
      <c r="A71" s="94" t="s">
        <v>48</v>
      </c>
      <c r="B71" s="64">
        <v>7240</v>
      </c>
      <c r="C71" s="64"/>
      <c r="D71" s="64">
        <f t="shared" si="10"/>
        <v>7240</v>
      </c>
      <c r="E71" s="89" t="e">
        <f t="shared" si="11"/>
        <v>#DIV/0!</v>
      </c>
      <c r="F71" s="65">
        <v>98765</v>
      </c>
      <c r="I71" s="71"/>
    </row>
    <row r="72" spans="1:9" x14ac:dyDescent="0.2">
      <c r="A72" s="28"/>
      <c r="B72" s="67"/>
      <c r="C72" s="67"/>
      <c r="D72" s="67" t="s">
        <v>103</v>
      </c>
      <c r="E72" s="80" t="s">
        <v>103</v>
      </c>
    </row>
    <row r="73" spans="1:9" x14ac:dyDescent="0.2">
      <c r="A73" s="28" t="s">
        <v>49</v>
      </c>
      <c r="B73" s="67">
        <v>5920</v>
      </c>
      <c r="C73" s="67"/>
      <c r="D73" s="67">
        <f t="shared" ref="D73:D78" si="12">B73-C73</f>
        <v>5920</v>
      </c>
      <c r="E73" s="80" t="e">
        <f t="shared" ref="E73:E78" si="13">D73/C73%</f>
        <v>#DIV/0!</v>
      </c>
      <c r="I73" s="71"/>
    </row>
    <row r="74" spans="1:9" x14ac:dyDescent="0.2">
      <c r="A74" s="28" t="s">
        <v>50</v>
      </c>
      <c r="B74" s="67">
        <v>1953</v>
      </c>
      <c r="C74" s="67"/>
      <c r="D74" s="67">
        <f t="shared" si="12"/>
        <v>1953</v>
      </c>
      <c r="E74" s="80" t="e">
        <f t="shared" si="13"/>
        <v>#DIV/0!</v>
      </c>
      <c r="I74" s="71"/>
    </row>
    <row r="75" spans="1:9" x14ac:dyDescent="0.2">
      <c r="A75" s="28" t="s">
        <v>51</v>
      </c>
      <c r="B75" s="67">
        <v>962</v>
      </c>
      <c r="C75" s="67"/>
      <c r="D75" s="67">
        <f t="shared" si="12"/>
        <v>962</v>
      </c>
      <c r="E75" s="80" t="e">
        <f t="shared" si="13"/>
        <v>#DIV/0!</v>
      </c>
    </row>
    <row r="76" spans="1:9" x14ac:dyDescent="0.2">
      <c r="A76" s="28" t="s">
        <v>52</v>
      </c>
      <c r="B76" s="67">
        <v>1850</v>
      </c>
      <c r="C76" s="67"/>
      <c r="D76" s="67">
        <f t="shared" si="12"/>
        <v>1850</v>
      </c>
      <c r="E76" s="80" t="e">
        <f t="shared" si="13"/>
        <v>#DIV/0!</v>
      </c>
      <c r="I76" s="71"/>
    </row>
    <row r="77" spans="1:9" ht="13.5" thickBot="1" x14ac:dyDescent="0.25">
      <c r="A77" s="28" t="s">
        <v>53</v>
      </c>
      <c r="B77" s="67">
        <v>5850</v>
      </c>
      <c r="C77" s="67"/>
      <c r="D77" s="67">
        <f t="shared" si="12"/>
        <v>5850</v>
      </c>
      <c r="E77" s="80" t="e">
        <f t="shared" si="13"/>
        <v>#DIV/0!</v>
      </c>
      <c r="I77" s="71"/>
    </row>
    <row r="78" spans="1:9" ht="13.5" thickBot="1" x14ac:dyDescent="0.25">
      <c r="A78" s="94" t="s">
        <v>54</v>
      </c>
      <c r="B78" s="64">
        <v>16535</v>
      </c>
      <c r="C78" s="64"/>
      <c r="D78" s="64">
        <f t="shared" si="12"/>
        <v>16535</v>
      </c>
      <c r="E78" s="89" t="e">
        <f t="shared" si="13"/>
        <v>#DIV/0!</v>
      </c>
      <c r="F78" s="65">
        <v>98765</v>
      </c>
      <c r="I78" s="71"/>
    </row>
    <row r="79" spans="1:9" x14ac:dyDescent="0.2">
      <c r="A79" s="60"/>
      <c r="B79" s="68"/>
      <c r="C79" s="68"/>
      <c r="D79" s="67" t="s">
        <v>103</v>
      </c>
      <c r="E79" s="80" t="s">
        <v>103</v>
      </c>
    </row>
    <row r="80" spans="1:9" x14ac:dyDescent="0.2">
      <c r="A80" s="28" t="s">
        <v>127</v>
      </c>
      <c r="B80" s="67">
        <v>159</v>
      </c>
      <c r="C80" s="67"/>
      <c r="D80" s="67">
        <f>B80-C80</f>
        <v>159</v>
      </c>
      <c r="E80" s="80" t="e">
        <f>D80/C80%</f>
        <v>#DIV/0!</v>
      </c>
    </row>
    <row r="81" spans="1:9" ht="13.5" thickBot="1" x14ac:dyDescent="0.25">
      <c r="A81" s="28" t="s">
        <v>128</v>
      </c>
      <c r="B81" s="67">
        <v>512</v>
      </c>
      <c r="C81" s="67"/>
      <c r="D81" s="67">
        <f>B81-C81</f>
        <v>512</v>
      </c>
      <c r="E81" s="80" t="e">
        <f>D81/C81%</f>
        <v>#DIV/0!</v>
      </c>
    </row>
    <row r="82" spans="1:9" ht="13.5" thickBot="1" x14ac:dyDescent="0.25">
      <c r="A82" s="94" t="s">
        <v>55</v>
      </c>
      <c r="B82" s="64">
        <v>671</v>
      </c>
      <c r="C82" s="64"/>
      <c r="D82" s="64">
        <f>B82-C82</f>
        <v>671</v>
      </c>
      <c r="E82" s="89" t="e">
        <f>D82/C82%</f>
        <v>#DIV/0!</v>
      </c>
      <c r="F82" s="65">
        <v>98765</v>
      </c>
    </row>
    <row r="83" spans="1:9" x14ac:dyDescent="0.2">
      <c r="A83" s="28"/>
      <c r="B83" s="67"/>
      <c r="C83" s="67"/>
      <c r="D83" s="67" t="s">
        <v>103</v>
      </c>
      <c r="E83" s="80" t="s">
        <v>103</v>
      </c>
    </row>
    <row r="84" spans="1:9" x14ac:dyDescent="0.2">
      <c r="A84" s="28" t="s">
        <v>56</v>
      </c>
      <c r="B84" s="67">
        <v>1105</v>
      </c>
      <c r="C84" s="67"/>
      <c r="D84" s="67">
        <f t="shared" ref="D84:D93" si="14">B84-C84</f>
        <v>1105</v>
      </c>
      <c r="E84" s="80" t="e">
        <f t="shared" ref="E84:E93" si="15">D84/C84%</f>
        <v>#DIV/0!</v>
      </c>
      <c r="I84" s="71"/>
    </row>
    <row r="85" spans="1:9" x14ac:dyDescent="0.2">
      <c r="A85" s="28" t="s">
        <v>57</v>
      </c>
      <c r="B85" s="67">
        <v>1602</v>
      </c>
      <c r="C85" s="67"/>
      <c r="D85" s="67">
        <f t="shared" si="14"/>
        <v>1602</v>
      </c>
      <c r="E85" s="80" t="e">
        <f t="shared" si="15"/>
        <v>#DIV/0!</v>
      </c>
      <c r="I85" s="71"/>
    </row>
    <row r="86" spans="1:9" x14ac:dyDescent="0.2">
      <c r="A86" s="28" t="s">
        <v>58</v>
      </c>
      <c r="B86" s="67">
        <v>632</v>
      </c>
      <c r="C86" s="67"/>
      <c r="D86" s="67">
        <f t="shared" si="14"/>
        <v>632</v>
      </c>
      <c r="E86" s="80" t="e">
        <f t="shared" si="15"/>
        <v>#DIV/0!</v>
      </c>
    </row>
    <row r="87" spans="1:9" x14ac:dyDescent="0.2">
      <c r="A87" s="28" t="s">
        <v>59</v>
      </c>
      <c r="B87" s="67">
        <v>719</v>
      </c>
      <c r="C87" s="67"/>
      <c r="D87" s="67">
        <f t="shared" si="14"/>
        <v>719</v>
      </c>
      <c r="E87" s="80" t="e">
        <f t="shared" si="15"/>
        <v>#DIV/0!</v>
      </c>
    </row>
    <row r="88" spans="1:9" x14ac:dyDescent="0.2">
      <c r="A88" s="28" t="s">
        <v>109</v>
      </c>
      <c r="B88" s="67">
        <v>2104</v>
      </c>
      <c r="C88" s="74"/>
      <c r="D88" s="67">
        <f t="shared" si="14"/>
        <v>2104</v>
      </c>
      <c r="E88" s="80" t="e">
        <f t="shared" si="15"/>
        <v>#DIV/0!</v>
      </c>
      <c r="I88" s="71"/>
    </row>
    <row r="89" spans="1:9" x14ac:dyDescent="0.2">
      <c r="A89" s="62" t="s">
        <v>142</v>
      </c>
      <c r="B89" s="69">
        <v>1208</v>
      </c>
      <c r="C89" s="73"/>
      <c r="D89" s="83">
        <f t="shared" si="14"/>
        <v>1208</v>
      </c>
      <c r="E89" s="84" t="e">
        <f t="shared" si="15"/>
        <v>#DIV/0!</v>
      </c>
      <c r="F89" s="65" t="s">
        <v>103</v>
      </c>
      <c r="I89" s="71"/>
    </row>
    <row r="90" spans="1:9" x14ac:dyDescent="0.2">
      <c r="A90" s="62" t="s">
        <v>143</v>
      </c>
      <c r="B90" s="69">
        <v>475</v>
      </c>
      <c r="C90" s="73"/>
      <c r="D90" s="83">
        <f t="shared" si="14"/>
        <v>475</v>
      </c>
      <c r="E90" s="84" t="e">
        <f t="shared" si="15"/>
        <v>#DIV/0!</v>
      </c>
      <c r="F90" s="65" t="s">
        <v>149</v>
      </c>
    </row>
    <row r="91" spans="1:9" x14ac:dyDescent="0.2">
      <c r="A91" s="62" t="s">
        <v>144</v>
      </c>
      <c r="B91" s="69">
        <v>421</v>
      </c>
      <c r="C91" s="73"/>
      <c r="D91" s="83">
        <f t="shared" si="14"/>
        <v>421</v>
      </c>
      <c r="E91" s="84" t="e">
        <f t="shared" si="15"/>
        <v>#DIV/0!</v>
      </c>
      <c r="F91" s="65" t="s">
        <v>103</v>
      </c>
    </row>
    <row r="92" spans="1:9" ht="13.5" thickBot="1" x14ac:dyDescent="0.25">
      <c r="A92" s="28" t="s">
        <v>60</v>
      </c>
      <c r="B92" s="67">
        <v>3493</v>
      </c>
      <c r="C92" s="67"/>
      <c r="D92" s="67">
        <f t="shared" si="14"/>
        <v>3493</v>
      </c>
      <c r="E92" s="80" t="e">
        <f t="shared" si="15"/>
        <v>#DIV/0!</v>
      </c>
      <c r="I92" s="71"/>
    </row>
    <row r="93" spans="1:9" ht="13.5" thickBot="1" x14ac:dyDescent="0.25">
      <c r="A93" s="94" t="s">
        <v>61</v>
      </c>
      <c r="B93" s="64">
        <v>9655</v>
      </c>
      <c r="C93" s="64"/>
      <c r="D93" s="64">
        <f t="shared" si="14"/>
        <v>9655</v>
      </c>
      <c r="E93" s="89" t="e">
        <f t="shared" si="15"/>
        <v>#DIV/0!</v>
      </c>
      <c r="F93" s="65">
        <v>98765</v>
      </c>
      <c r="I93" s="71"/>
    </row>
    <row r="94" spans="1:9" x14ac:dyDescent="0.2">
      <c r="A94" s="28"/>
      <c r="B94" s="67"/>
      <c r="C94" s="67"/>
      <c r="D94" s="67" t="s">
        <v>103</v>
      </c>
      <c r="E94" s="80" t="s">
        <v>103</v>
      </c>
    </row>
    <row r="95" spans="1:9" x14ac:dyDescent="0.2">
      <c r="A95" s="28" t="s">
        <v>62</v>
      </c>
      <c r="B95" s="67">
        <v>1602</v>
      </c>
      <c r="C95" s="67"/>
      <c r="D95" s="67">
        <f t="shared" ref="D95:D101" si="16">B95-C95</f>
        <v>1602</v>
      </c>
      <c r="E95" s="80" t="e">
        <f t="shared" ref="E95:E101" si="17">D95/C95%</f>
        <v>#DIV/0!</v>
      </c>
      <c r="I95" s="71"/>
    </row>
    <row r="96" spans="1:9" x14ac:dyDescent="0.2">
      <c r="A96" s="28" t="s">
        <v>63</v>
      </c>
      <c r="B96" s="67">
        <v>75</v>
      </c>
      <c r="C96" s="67"/>
      <c r="D96" s="67">
        <f t="shared" si="16"/>
        <v>75</v>
      </c>
      <c r="E96" s="80" t="e">
        <f t="shared" si="17"/>
        <v>#DIV/0!</v>
      </c>
    </row>
    <row r="97" spans="1:9" x14ac:dyDescent="0.2">
      <c r="A97" s="85" t="s">
        <v>64</v>
      </c>
      <c r="B97" s="67">
        <v>1120</v>
      </c>
      <c r="C97" s="67"/>
      <c r="D97" s="67">
        <f t="shared" si="16"/>
        <v>1120</v>
      </c>
      <c r="E97" s="80" t="e">
        <f t="shared" si="17"/>
        <v>#DIV/0!</v>
      </c>
      <c r="I97" s="71"/>
    </row>
    <row r="98" spans="1:9" x14ac:dyDescent="0.2">
      <c r="A98" s="28" t="s">
        <v>65</v>
      </c>
      <c r="B98" s="67">
        <v>1291</v>
      </c>
      <c r="C98" s="67"/>
      <c r="D98" s="67">
        <f t="shared" si="16"/>
        <v>1291</v>
      </c>
      <c r="E98" s="80" t="e">
        <f t="shared" si="17"/>
        <v>#DIV/0!</v>
      </c>
      <c r="I98" s="71"/>
    </row>
    <row r="99" spans="1:9" x14ac:dyDescent="0.2">
      <c r="A99" s="28" t="s">
        <v>66</v>
      </c>
      <c r="B99" s="67">
        <v>1183</v>
      </c>
      <c r="C99" s="67"/>
      <c r="D99" s="67">
        <f t="shared" si="16"/>
        <v>1183</v>
      </c>
      <c r="E99" s="80" t="e">
        <f t="shared" si="17"/>
        <v>#DIV/0!</v>
      </c>
      <c r="I99" s="71"/>
    </row>
    <row r="100" spans="1:9" ht="13.5" thickBot="1" x14ac:dyDescent="0.25">
      <c r="A100" s="28" t="s">
        <v>67</v>
      </c>
      <c r="B100" s="67">
        <v>60</v>
      </c>
      <c r="C100" s="67"/>
      <c r="D100" s="67">
        <f t="shared" si="16"/>
        <v>60</v>
      </c>
      <c r="E100" s="80" t="e">
        <f t="shared" si="17"/>
        <v>#DIV/0!</v>
      </c>
    </row>
    <row r="101" spans="1:9" ht="13.5" thickBot="1" x14ac:dyDescent="0.25">
      <c r="A101" s="94" t="s">
        <v>68</v>
      </c>
      <c r="B101" s="64">
        <v>5331</v>
      </c>
      <c r="C101" s="64"/>
      <c r="D101" s="64">
        <f t="shared" si="16"/>
        <v>5331</v>
      </c>
      <c r="E101" s="89" t="e">
        <f t="shared" si="17"/>
        <v>#DIV/0!</v>
      </c>
      <c r="F101" s="65">
        <v>98765</v>
      </c>
      <c r="I101" s="71"/>
    </row>
    <row r="102" spans="1:9" x14ac:dyDescent="0.2">
      <c r="A102" s="60"/>
      <c r="B102" s="68"/>
      <c r="C102" s="68"/>
      <c r="D102" s="67" t="s">
        <v>103</v>
      </c>
      <c r="E102" s="80" t="s">
        <v>103</v>
      </c>
    </row>
    <row r="103" spans="1:9" x14ac:dyDescent="0.2">
      <c r="A103" s="28" t="s">
        <v>129</v>
      </c>
      <c r="B103" s="67">
        <v>866</v>
      </c>
      <c r="C103" s="67"/>
      <c r="D103" s="67">
        <f t="shared" ref="D103:D109" si="18">B103-C103</f>
        <v>866</v>
      </c>
      <c r="E103" s="80" t="e">
        <f t="shared" ref="E103:E109" si="19">D103/C103%</f>
        <v>#DIV/0!</v>
      </c>
    </row>
    <row r="104" spans="1:9" x14ac:dyDescent="0.2">
      <c r="A104" s="28" t="s">
        <v>130</v>
      </c>
      <c r="B104" s="67">
        <v>31</v>
      </c>
      <c r="C104" s="67"/>
      <c r="D104" s="67">
        <f t="shared" si="18"/>
        <v>31</v>
      </c>
      <c r="E104" s="80" t="e">
        <f t="shared" si="19"/>
        <v>#DIV/0!</v>
      </c>
    </row>
    <row r="105" spans="1:9" x14ac:dyDescent="0.2">
      <c r="A105" s="28" t="s">
        <v>131</v>
      </c>
      <c r="B105" s="67">
        <v>308</v>
      </c>
      <c r="C105" s="67"/>
      <c r="D105" s="67">
        <f t="shared" si="18"/>
        <v>308</v>
      </c>
      <c r="E105" s="80" t="e">
        <f t="shared" si="19"/>
        <v>#DIV/0!</v>
      </c>
    </row>
    <row r="106" spans="1:9" x14ac:dyDescent="0.2">
      <c r="A106" s="28" t="s">
        <v>132</v>
      </c>
      <c r="B106" s="67">
        <v>69</v>
      </c>
      <c r="C106" s="67"/>
      <c r="D106" s="67">
        <f t="shared" si="18"/>
        <v>69</v>
      </c>
      <c r="E106" s="80" t="e">
        <f t="shared" si="19"/>
        <v>#DIV/0!</v>
      </c>
    </row>
    <row r="107" spans="1:9" x14ac:dyDescent="0.2">
      <c r="A107" s="28" t="s">
        <v>133</v>
      </c>
      <c r="B107" s="67">
        <v>502</v>
      </c>
      <c r="C107" s="67"/>
      <c r="D107" s="67">
        <f t="shared" si="18"/>
        <v>502</v>
      </c>
      <c r="E107" s="80" t="e">
        <f t="shared" si="19"/>
        <v>#DIV/0!</v>
      </c>
    </row>
    <row r="108" spans="1:9" ht="13.5" thickBot="1" x14ac:dyDescent="0.25">
      <c r="A108" s="28" t="s">
        <v>134</v>
      </c>
      <c r="B108" s="67">
        <v>79</v>
      </c>
      <c r="C108" s="67"/>
      <c r="D108" s="67">
        <f t="shared" si="18"/>
        <v>79</v>
      </c>
      <c r="E108" s="80" t="e">
        <f t="shared" si="19"/>
        <v>#DIV/0!</v>
      </c>
    </row>
    <row r="109" spans="1:9" ht="13.5" thickBot="1" x14ac:dyDescent="0.25">
      <c r="A109" s="94" t="s">
        <v>69</v>
      </c>
      <c r="B109" s="64">
        <v>1855</v>
      </c>
      <c r="C109" s="64"/>
      <c r="D109" s="64">
        <f t="shared" si="18"/>
        <v>1855</v>
      </c>
      <c r="E109" s="89" t="e">
        <f t="shared" si="19"/>
        <v>#DIV/0!</v>
      </c>
      <c r="F109" s="65">
        <v>98765</v>
      </c>
      <c r="I109" s="71"/>
    </row>
    <row r="110" spans="1:9" x14ac:dyDescent="0.2">
      <c r="A110" s="28"/>
      <c r="B110" s="67"/>
      <c r="C110" s="67"/>
      <c r="D110" s="67" t="s">
        <v>103</v>
      </c>
      <c r="E110" s="80" t="s">
        <v>103</v>
      </c>
    </row>
    <row r="111" spans="1:9" x14ac:dyDescent="0.2">
      <c r="A111" s="28" t="s">
        <v>70</v>
      </c>
      <c r="B111" s="67">
        <v>2468</v>
      </c>
      <c r="C111" s="67"/>
      <c r="D111" s="67">
        <f t="shared" ref="D111:D120" si="20">B111-C111</f>
        <v>2468</v>
      </c>
      <c r="E111" s="80" t="e">
        <f t="shared" ref="E111:E120" si="21">D111/C111%</f>
        <v>#DIV/0!</v>
      </c>
      <c r="I111" s="71"/>
    </row>
    <row r="112" spans="1:9" x14ac:dyDescent="0.2">
      <c r="A112" s="28" t="s">
        <v>71</v>
      </c>
      <c r="B112" s="67">
        <v>537</v>
      </c>
      <c r="C112" s="67"/>
      <c r="D112" s="67">
        <f t="shared" si="20"/>
        <v>537</v>
      </c>
      <c r="E112" s="80" t="e">
        <f t="shared" si="21"/>
        <v>#DIV/0!</v>
      </c>
    </row>
    <row r="113" spans="1:9" x14ac:dyDescent="0.2">
      <c r="A113" s="28" t="s">
        <v>72</v>
      </c>
      <c r="B113" s="67">
        <v>3064</v>
      </c>
      <c r="C113" s="67"/>
      <c r="D113" s="67">
        <f t="shared" si="20"/>
        <v>3064</v>
      </c>
      <c r="E113" s="80" t="e">
        <f t="shared" si="21"/>
        <v>#DIV/0!</v>
      </c>
      <c r="I113" s="71"/>
    </row>
    <row r="114" spans="1:9" x14ac:dyDescent="0.2">
      <c r="A114" s="28" t="s">
        <v>73</v>
      </c>
      <c r="B114" s="67">
        <v>1389</v>
      </c>
      <c r="C114" s="67"/>
      <c r="D114" s="67">
        <f t="shared" si="20"/>
        <v>1389</v>
      </c>
      <c r="E114" s="80" t="e">
        <f t="shared" si="21"/>
        <v>#DIV/0!</v>
      </c>
      <c r="I114" s="71"/>
    </row>
    <row r="115" spans="1:9" x14ac:dyDescent="0.2">
      <c r="A115" s="28" t="s">
        <v>74</v>
      </c>
      <c r="B115" s="67">
        <v>1308</v>
      </c>
      <c r="C115" s="67"/>
      <c r="D115" s="67">
        <f t="shared" si="20"/>
        <v>1308</v>
      </c>
      <c r="E115" s="80" t="e">
        <f t="shared" si="21"/>
        <v>#DIV/0!</v>
      </c>
      <c r="I115" s="71"/>
    </row>
    <row r="116" spans="1:9" x14ac:dyDescent="0.2">
      <c r="A116" s="28" t="s">
        <v>75</v>
      </c>
      <c r="B116" s="67">
        <v>3978</v>
      </c>
      <c r="C116" s="67"/>
      <c r="D116" s="67">
        <f t="shared" si="20"/>
        <v>3978</v>
      </c>
      <c r="E116" s="80" t="e">
        <f t="shared" si="21"/>
        <v>#DIV/0!</v>
      </c>
      <c r="I116" s="71"/>
    </row>
    <row r="117" spans="1:9" x14ac:dyDescent="0.2">
      <c r="A117" s="28" t="s">
        <v>76</v>
      </c>
      <c r="B117" s="67">
        <v>2553</v>
      </c>
      <c r="C117" s="67"/>
      <c r="D117" s="67">
        <f t="shared" si="20"/>
        <v>2553</v>
      </c>
      <c r="E117" s="80" t="e">
        <f t="shared" si="21"/>
        <v>#DIV/0!</v>
      </c>
      <c r="I117" s="71"/>
    </row>
    <row r="118" spans="1:9" x14ac:dyDescent="0.2">
      <c r="A118" s="28" t="s">
        <v>77</v>
      </c>
      <c r="B118" s="67">
        <v>4876</v>
      </c>
      <c r="C118" s="67"/>
      <c r="D118" s="67">
        <f t="shared" si="20"/>
        <v>4876</v>
      </c>
      <c r="E118" s="80" t="e">
        <f t="shared" si="21"/>
        <v>#DIV/0!</v>
      </c>
      <c r="I118" s="71"/>
    </row>
    <row r="119" spans="1:9" ht="13.5" thickBot="1" x14ac:dyDescent="0.25">
      <c r="A119" s="28" t="s">
        <v>78</v>
      </c>
      <c r="B119" s="67">
        <v>2394</v>
      </c>
      <c r="C119" s="67"/>
      <c r="D119" s="67">
        <f t="shared" si="20"/>
        <v>2394</v>
      </c>
      <c r="E119" s="80" t="e">
        <f t="shared" si="21"/>
        <v>#DIV/0!</v>
      </c>
      <c r="I119" s="71"/>
    </row>
    <row r="120" spans="1:9" ht="13.5" thickBot="1" x14ac:dyDescent="0.25">
      <c r="A120" s="94" t="s">
        <v>79</v>
      </c>
      <c r="B120" s="64">
        <v>22567</v>
      </c>
      <c r="C120" s="64"/>
      <c r="D120" s="64">
        <f t="shared" si="20"/>
        <v>22567</v>
      </c>
      <c r="E120" s="89" t="e">
        <f t="shared" si="21"/>
        <v>#DIV/0!</v>
      </c>
      <c r="F120" s="65">
        <v>98765</v>
      </c>
      <c r="I120" s="71"/>
    </row>
    <row r="121" spans="1:9" x14ac:dyDescent="0.2">
      <c r="A121" s="28"/>
      <c r="B121" s="67"/>
      <c r="C121" s="67"/>
      <c r="D121" s="67" t="s">
        <v>103</v>
      </c>
      <c r="E121" s="80" t="s">
        <v>103</v>
      </c>
    </row>
    <row r="122" spans="1:9" x14ac:dyDescent="0.2">
      <c r="A122" s="28" t="s">
        <v>80</v>
      </c>
      <c r="B122" s="67">
        <v>3268</v>
      </c>
      <c r="C122" s="67"/>
      <c r="D122" s="67">
        <f t="shared" ref="D122:D132" si="22">B122-C122</f>
        <v>3268</v>
      </c>
      <c r="E122" s="80" t="e">
        <f t="shared" ref="E122:E132" si="23">D122/C122%</f>
        <v>#DIV/0!</v>
      </c>
      <c r="I122" s="71"/>
    </row>
    <row r="123" spans="1:9" x14ac:dyDescent="0.2">
      <c r="A123" s="28" t="s">
        <v>81</v>
      </c>
      <c r="B123" s="67">
        <v>11600</v>
      </c>
      <c r="C123" s="67"/>
      <c r="D123" s="67">
        <f t="shared" si="22"/>
        <v>11600</v>
      </c>
      <c r="E123" s="80" t="e">
        <f t="shared" si="23"/>
        <v>#DIV/0!</v>
      </c>
      <c r="I123" s="71"/>
    </row>
    <row r="124" spans="1:9" x14ac:dyDescent="0.2">
      <c r="A124" s="28" t="s">
        <v>82</v>
      </c>
      <c r="B124" s="67">
        <v>2362</v>
      </c>
      <c r="C124" s="67"/>
      <c r="D124" s="67">
        <f t="shared" si="22"/>
        <v>2362</v>
      </c>
      <c r="E124" s="80" t="e">
        <f t="shared" si="23"/>
        <v>#DIV/0!</v>
      </c>
      <c r="I124" s="71"/>
    </row>
    <row r="125" spans="1:9" x14ac:dyDescent="0.2">
      <c r="A125" s="28" t="s">
        <v>83</v>
      </c>
      <c r="B125" s="67">
        <v>2652</v>
      </c>
      <c r="C125" s="67"/>
      <c r="D125" s="67">
        <f t="shared" si="22"/>
        <v>2652</v>
      </c>
      <c r="E125" s="80" t="e">
        <f t="shared" si="23"/>
        <v>#DIV/0!</v>
      </c>
      <c r="I125" s="71"/>
    </row>
    <row r="126" spans="1:9" x14ac:dyDescent="0.2">
      <c r="A126" s="28" t="s">
        <v>84</v>
      </c>
      <c r="B126" s="67">
        <v>804</v>
      </c>
      <c r="C126" s="67"/>
      <c r="D126" s="67">
        <f t="shared" si="22"/>
        <v>804</v>
      </c>
      <c r="E126" s="80" t="e">
        <f t="shared" si="23"/>
        <v>#DIV/0!</v>
      </c>
    </row>
    <row r="127" spans="1:9" x14ac:dyDescent="0.2">
      <c r="A127" s="28" t="s">
        <v>85</v>
      </c>
      <c r="B127" s="67">
        <v>357</v>
      </c>
      <c r="C127" s="67"/>
      <c r="D127" s="67">
        <f t="shared" si="22"/>
        <v>357</v>
      </c>
      <c r="E127" s="80" t="e">
        <f t="shared" si="23"/>
        <v>#DIV/0!</v>
      </c>
    </row>
    <row r="128" spans="1:9" x14ac:dyDescent="0.2">
      <c r="A128" s="28" t="s">
        <v>86</v>
      </c>
      <c r="B128" s="67">
        <v>2720</v>
      </c>
      <c r="C128" s="67"/>
      <c r="D128" s="67">
        <f t="shared" si="22"/>
        <v>2720</v>
      </c>
      <c r="E128" s="80" t="e">
        <f t="shared" si="23"/>
        <v>#DIV/0!</v>
      </c>
      <c r="I128" s="71"/>
    </row>
    <row r="129" spans="1:10" x14ac:dyDescent="0.2">
      <c r="A129" s="28" t="s">
        <v>87</v>
      </c>
      <c r="B129" s="67">
        <v>5941</v>
      </c>
      <c r="C129" s="67"/>
      <c r="D129" s="67">
        <f t="shared" si="22"/>
        <v>5941</v>
      </c>
      <c r="E129" s="80" t="e">
        <f t="shared" si="23"/>
        <v>#DIV/0!</v>
      </c>
      <c r="I129" s="71"/>
      <c r="J129" s="65" t="s">
        <v>103</v>
      </c>
    </row>
    <row r="130" spans="1:10" x14ac:dyDescent="0.2">
      <c r="A130" s="28" t="s">
        <v>88</v>
      </c>
      <c r="B130" s="67">
        <v>4203</v>
      </c>
      <c r="C130" s="67"/>
      <c r="D130" s="67">
        <f t="shared" si="22"/>
        <v>4203</v>
      </c>
      <c r="E130" s="80" t="e">
        <f t="shared" si="23"/>
        <v>#DIV/0!</v>
      </c>
      <c r="I130" s="71"/>
    </row>
    <row r="131" spans="1:10" ht="13.5" thickBot="1" x14ac:dyDescent="0.25">
      <c r="A131" s="28" t="s">
        <v>89</v>
      </c>
      <c r="B131" s="67">
        <v>5448</v>
      </c>
      <c r="C131" s="67"/>
      <c r="D131" s="67">
        <f t="shared" si="22"/>
        <v>5448</v>
      </c>
      <c r="E131" s="80" t="e">
        <f t="shared" si="23"/>
        <v>#DIV/0!</v>
      </c>
      <c r="I131" s="71"/>
    </row>
    <row r="132" spans="1:10" ht="13.5" thickBot="1" x14ac:dyDescent="0.25">
      <c r="A132" s="94" t="s">
        <v>90</v>
      </c>
      <c r="B132" s="64">
        <v>39355</v>
      </c>
      <c r="C132" s="64"/>
      <c r="D132" s="64">
        <f t="shared" si="22"/>
        <v>39355</v>
      </c>
      <c r="E132" s="89" t="e">
        <f t="shared" si="23"/>
        <v>#DIV/0!</v>
      </c>
      <c r="F132" s="65">
        <v>98765</v>
      </c>
      <c r="I132" s="71"/>
    </row>
    <row r="133" spans="1:10" x14ac:dyDescent="0.2">
      <c r="A133" s="28"/>
      <c r="B133" s="67"/>
      <c r="C133" s="67"/>
      <c r="D133" s="67" t="s">
        <v>103</v>
      </c>
      <c r="E133" s="80" t="s">
        <v>103</v>
      </c>
    </row>
    <row r="134" spans="1:10" x14ac:dyDescent="0.2">
      <c r="A134" s="28" t="s">
        <v>135</v>
      </c>
      <c r="B134" s="67">
        <v>494</v>
      </c>
      <c r="C134" s="67"/>
      <c r="D134" s="67">
        <f>B134-C134</f>
        <v>494</v>
      </c>
      <c r="E134" s="80" t="e">
        <f>D134/C134%</f>
        <v>#DIV/0!</v>
      </c>
    </row>
    <row r="135" spans="1:10" ht="13.5" thickBot="1" x14ac:dyDescent="0.25">
      <c r="A135" s="28" t="s">
        <v>136</v>
      </c>
      <c r="B135" s="67">
        <v>52</v>
      </c>
      <c r="C135" s="67"/>
      <c r="D135" s="67">
        <f>B135-C135</f>
        <v>52</v>
      </c>
      <c r="E135" s="80" t="e">
        <f>D135/C135%</f>
        <v>#DIV/0!</v>
      </c>
    </row>
    <row r="136" spans="1:10" ht="13.5" thickBot="1" x14ac:dyDescent="0.25">
      <c r="A136" s="94" t="s">
        <v>91</v>
      </c>
      <c r="B136" s="64">
        <v>546</v>
      </c>
      <c r="C136" s="64"/>
      <c r="D136" s="64">
        <f>B136-C136</f>
        <v>546</v>
      </c>
      <c r="E136" s="89" t="e">
        <f>D136/C136%</f>
        <v>#DIV/0!</v>
      </c>
      <c r="F136" s="65">
        <v>98765</v>
      </c>
    </row>
    <row r="137" spans="1:10" x14ac:dyDescent="0.2">
      <c r="A137" s="60"/>
      <c r="B137" s="68"/>
      <c r="C137" s="68"/>
      <c r="D137" s="67" t="s">
        <v>103</v>
      </c>
      <c r="E137" s="80" t="s">
        <v>103</v>
      </c>
    </row>
    <row r="138" spans="1:10" x14ac:dyDescent="0.2">
      <c r="A138" s="28" t="s">
        <v>137</v>
      </c>
      <c r="B138" s="67">
        <v>4614</v>
      </c>
      <c r="C138" s="67"/>
      <c r="D138" s="67">
        <f>B138-C138</f>
        <v>4614</v>
      </c>
      <c r="E138" s="80" t="e">
        <f>D138/C138%</f>
        <v>#DIV/0!</v>
      </c>
      <c r="I138" s="71"/>
    </row>
    <row r="139" spans="1:10" ht="13.5" thickBot="1" x14ac:dyDescent="0.25">
      <c r="A139" s="28" t="s">
        <v>138</v>
      </c>
      <c r="B139" s="67">
        <v>3577</v>
      </c>
      <c r="C139" s="67"/>
      <c r="D139" s="67">
        <f>B139-C139</f>
        <v>3577</v>
      </c>
      <c r="E139" s="80" t="e">
        <f>D139/C139%</f>
        <v>#DIV/0!</v>
      </c>
      <c r="I139" s="71"/>
    </row>
    <row r="140" spans="1:10" ht="13.5" thickBot="1" x14ac:dyDescent="0.25">
      <c r="A140" s="94" t="s">
        <v>92</v>
      </c>
      <c r="B140" s="64">
        <v>8191</v>
      </c>
      <c r="C140" s="64"/>
      <c r="D140" s="64">
        <f>B140-C140</f>
        <v>8191</v>
      </c>
      <c r="E140" s="89" t="e">
        <f>D140/C140%</f>
        <v>#DIV/0!</v>
      </c>
      <c r="F140" s="65">
        <v>98765</v>
      </c>
      <c r="I140" s="71"/>
    </row>
    <row r="141" spans="1:10" x14ac:dyDescent="0.2">
      <c r="A141" s="92"/>
      <c r="B141" s="87"/>
      <c r="C141" s="68"/>
      <c r="D141" s="67" t="s">
        <v>103</v>
      </c>
      <c r="E141" s="80" t="s">
        <v>103</v>
      </c>
    </row>
    <row r="142" spans="1:10" ht="13.5" thickBot="1" x14ac:dyDescent="0.25">
      <c r="A142" s="93" t="s">
        <v>147</v>
      </c>
      <c r="B142" s="90">
        <v>26</v>
      </c>
      <c r="C142" s="67"/>
      <c r="D142" s="67">
        <f>B142-C142</f>
        <v>26</v>
      </c>
      <c r="E142" s="80" t="e">
        <f>D142/C142%</f>
        <v>#DIV/0!</v>
      </c>
    </row>
    <row r="143" spans="1:10" ht="13.5" thickBot="1" x14ac:dyDescent="0.25">
      <c r="A143" s="95" t="s">
        <v>105</v>
      </c>
      <c r="B143" s="91">
        <v>26</v>
      </c>
      <c r="C143" s="64"/>
      <c r="D143" s="64">
        <f>B143-C143</f>
        <v>26</v>
      </c>
      <c r="E143" s="89" t="e">
        <f>D143/C143%</f>
        <v>#DIV/0!</v>
      </c>
      <c r="F143" s="65">
        <v>98765</v>
      </c>
    </row>
    <row r="144" spans="1:10" x14ac:dyDescent="0.2">
      <c r="A144" s="28"/>
      <c r="B144" s="67"/>
      <c r="C144" s="67"/>
      <c r="D144" s="67" t="s">
        <v>103</v>
      </c>
      <c r="E144" s="80" t="s">
        <v>103</v>
      </c>
    </row>
    <row r="145" spans="1:9" x14ac:dyDescent="0.2">
      <c r="A145" s="28" t="s">
        <v>93</v>
      </c>
      <c r="B145" s="67">
        <v>1399</v>
      </c>
      <c r="C145" s="67"/>
      <c r="D145" s="67">
        <f t="shared" ref="D145:D153" si="24">B145-C145</f>
        <v>1399</v>
      </c>
      <c r="E145" s="80" t="e">
        <f t="shared" ref="E145:E153" si="25">D145/C145%</f>
        <v>#DIV/0!</v>
      </c>
      <c r="I145" s="71"/>
    </row>
    <row r="146" spans="1:9" x14ac:dyDescent="0.2">
      <c r="A146" s="28" t="s">
        <v>94</v>
      </c>
      <c r="B146" s="67">
        <v>1656</v>
      </c>
      <c r="C146" s="67"/>
      <c r="D146" s="67">
        <f t="shared" si="24"/>
        <v>1656</v>
      </c>
      <c r="E146" s="80" t="e">
        <f t="shared" si="25"/>
        <v>#DIV/0!</v>
      </c>
      <c r="I146" s="71"/>
    </row>
    <row r="147" spans="1:9" x14ac:dyDescent="0.2">
      <c r="A147" s="28" t="s">
        <v>95</v>
      </c>
      <c r="B147" s="67">
        <v>2203</v>
      </c>
      <c r="C147" s="67"/>
      <c r="D147" s="67">
        <f t="shared" si="24"/>
        <v>2203</v>
      </c>
      <c r="E147" s="80" t="e">
        <f t="shared" si="25"/>
        <v>#DIV/0!</v>
      </c>
      <c r="I147" s="71"/>
    </row>
    <row r="148" spans="1:9" x14ac:dyDescent="0.2">
      <c r="A148" s="28" t="s">
        <v>96</v>
      </c>
      <c r="B148" s="67">
        <v>1987</v>
      </c>
      <c r="C148" s="67"/>
      <c r="D148" s="67">
        <f t="shared" si="24"/>
        <v>1987</v>
      </c>
      <c r="E148" s="80" t="e">
        <f t="shared" si="25"/>
        <v>#DIV/0!</v>
      </c>
      <c r="I148" s="71"/>
    </row>
    <row r="149" spans="1:9" x14ac:dyDescent="0.2">
      <c r="A149" s="28" t="s">
        <v>97</v>
      </c>
      <c r="B149" s="67">
        <v>2591</v>
      </c>
      <c r="C149" s="67"/>
      <c r="D149" s="67">
        <f t="shared" si="24"/>
        <v>2591</v>
      </c>
      <c r="E149" s="80" t="e">
        <f t="shared" si="25"/>
        <v>#DIV/0!</v>
      </c>
      <c r="I149" s="71"/>
    </row>
    <row r="150" spans="1:9" x14ac:dyDescent="0.2">
      <c r="A150" s="28" t="s">
        <v>145</v>
      </c>
      <c r="B150" s="67">
        <v>1471</v>
      </c>
      <c r="C150" s="67"/>
      <c r="D150" s="67">
        <f t="shared" si="24"/>
        <v>1471</v>
      </c>
      <c r="E150" s="80" t="e">
        <f t="shared" si="25"/>
        <v>#DIV/0!</v>
      </c>
      <c r="I150" s="71"/>
    </row>
    <row r="151" spans="1:9" x14ac:dyDescent="0.2">
      <c r="A151" s="62" t="s">
        <v>98</v>
      </c>
      <c r="B151" s="69">
        <v>577</v>
      </c>
      <c r="C151" s="69"/>
      <c r="D151" s="83">
        <f t="shared" si="24"/>
        <v>577</v>
      </c>
      <c r="E151" s="84" t="e">
        <f t="shared" si="25"/>
        <v>#DIV/0!</v>
      </c>
    </row>
    <row r="152" spans="1:9" ht="13.5" thickBot="1" x14ac:dyDescent="0.25">
      <c r="A152" s="62" t="s">
        <v>99</v>
      </c>
      <c r="B152" s="69">
        <v>894</v>
      </c>
      <c r="C152" s="69"/>
      <c r="D152" s="83">
        <f t="shared" si="24"/>
        <v>894</v>
      </c>
      <c r="E152" s="84" t="e">
        <f t="shared" si="25"/>
        <v>#DIV/0!</v>
      </c>
    </row>
    <row r="153" spans="1:9" ht="13.5" thickBot="1" x14ac:dyDescent="0.25">
      <c r="A153" s="63" t="s">
        <v>100</v>
      </c>
      <c r="B153" s="64">
        <v>11307</v>
      </c>
      <c r="C153" s="64"/>
      <c r="D153" s="64">
        <f t="shared" si="24"/>
        <v>11307</v>
      </c>
      <c r="E153" s="89" t="e">
        <f t="shared" si="25"/>
        <v>#DIV/0!</v>
      </c>
      <c r="F153" s="65">
        <v>98765</v>
      </c>
      <c r="I153" s="71"/>
    </row>
    <row r="154" spans="1:9" ht="13.5" thickBot="1" x14ac:dyDescent="0.25">
      <c r="A154" s="28"/>
      <c r="B154" s="67"/>
      <c r="C154" s="67"/>
      <c r="D154" s="67" t="s">
        <v>103</v>
      </c>
      <c r="E154" s="80" t="s">
        <v>103</v>
      </c>
    </row>
    <row r="155" spans="1:9" ht="15.95" customHeight="1" thickBot="1" x14ac:dyDescent="0.25">
      <c r="A155" s="63" t="s">
        <v>101</v>
      </c>
      <c r="B155" s="88">
        <v>228058</v>
      </c>
      <c r="C155" s="64"/>
      <c r="D155" s="64">
        <f>B155-C155</f>
        <v>228058</v>
      </c>
      <c r="E155" s="89" t="e">
        <f>D155/C155%</f>
        <v>#DIV/0!</v>
      </c>
      <c r="I155" s="71"/>
    </row>
    <row r="156" spans="1:9" x14ac:dyDescent="0.2">
      <c r="A156"/>
      <c r="B156" t="s">
        <v>103</v>
      </c>
      <c r="C156" s="70"/>
      <c r="D156"/>
      <c r="E156" s="81"/>
    </row>
    <row r="157" spans="1:9" x14ac:dyDescent="0.2">
      <c r="A157"/>
      <c r="B157" t="s">
        <v>103</v>
      </c>
      <c r="C157" s="70"/>
      <c r="D157"/>
      <c r="E157" s="81"/>
    </row>
  </sheetData>
  <mergeCells count="4">
    <mergeCell ref="B1:E1"/>
    <mergeCell ref="B2:C2"/>
    <mergeCell ref="D2:D3"/>
    <mergeCell ref="E2:E3"/>
  </mergeCells>
  <conditionalFormatting sqref="D5:E155">
    <cfRule type="cellIs" dxfId="0" priority="2" operator="less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3" manualBreakCount="3">
    <brk id="40" max="16" man="1"/>
    <brk id="78" max="16" man="1"/>
    <brk id="12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002D-3554-4724-969C-8AF3D56D018D}">
  <sheetPr codeName="Foglio2"/>
  <dimension ref="A1:R135"/>
  <sheetViews>
    <sheetView workbookViewId="0">
      <selection activeCell="S128" sqref="S128"/>
    </sheetView>
  </sheetViews>
  <sheetFormatPr defaultRowHeight="12.75" x14ac:dyDescent="0.2"/>
  <cols>
    <col min="1" max="1" width="15.7109375" style="1" customWidth="1"/>
    <col min="2" max="2" width="11.5703125" style="1" customWidth="1"/>
    <col min="3" max="3" width="11.7109375" style="1" customWidth="1"/>
    <col min="4" max="4" width="11.5703125" style="1" customWidth="1"/>
    <col min="5" max="5" width="9.7109375" style="18" customWidth="1"/>
    <col min="6" max="6" width="4.42578125" customWidth="1"/>
    <col min="7" max="9" width="10.7109375" style="1" customWidth="1"/>
    <col min="10" max="10" width="9.7109375" style="18" customWidth="1"/>
    <col min="11" max="11" width="4.42578125" customWidth="1"/>
    <col min="12" max="14" width="10.7109375" style="1" customWidth="1"/>
    <col min="15" max="15" width="9.85546875" style="18" customWidth="1"/>
  </cols>
  <sheetData>
    <row r="1" spans="1:17" ht="12.75" customHeight="1" x14ac:dyDescent="0.2">
      <c r="A1" s="105" t="s">
        <v>104</v>
      </c>
      <c r="B1" s="103" t="s">
        <v>113</v>
      </c>
      <c r="C1" s="103" t="s">
        <v>114</v>
      </c>
      <c r="D1" s="103" t="s">
        <v>116</v>
      </c>
      <c r="E1" s="107" t="s">
        <v>115</v>
      </c>
      <c r="G1" s="103" t="s">
        <v>117</v>
      </c>
      <c r="H1" s="103" t="s">
        <v>118</v>
      </c>
      <c r="I1" s="103" t="s">
        <v>116</v>
      </c>
      <c r="J1" s="107" t="s">
        <v>115</v>
      </c>
      <c r="L1" s="103" t="s">
        <v>119</v>
      </c>
      <c r="M1" s="103" t="s">
        <v>120</v>
      </c>
      <c r="N1" s="103" t="s">
        <v>116</v>
      </c>
      <c r="O1" s="107" t="s">
        <v>115</v>
      </c>
    </row>
    <row r="2" spans="1:17" ht="13.5" thickBot="1" x14ac:dyDescent="0.25">
      <c r="A2" s="106"/>
      <c r="B2" s="104"/>
      <c r="C2" s="104"/>
      <c r="D2" s="104"/>
      <c r="E2" s="108"/>
      <c r="G2" s="104"/>
      <c r="H2" s="104"/>
      <c r="I2" s="104"/>
      <c r="J2" s="108"/>
      <c r="L2" s="104"/>
      <c r="M2" s="104"/>
      <c r="N2" s="104"/>
      <c r="O2" s="108"/>
    </row>
    <row r="3" spans="1:17" x14ac:dyDescent="0.2">
      <c r="A3" s="5"/>
      <c r="B3" s="4"/>
      <c r="C3" s="4"/>
      <c r="D3" s="4"/>
      <c r="E3" s="13"/>
      <c r="F3" s="9"/>
      <c r="G3" s="10"/>
      <c r="H3" s="4"/>
      <c r="I3" s="4"/>
      <c r="J3" s="13"/>
      <c r="K3" s="9"/>
      <c r="L3" s="10"/>
      <c r="M3" s="4"/>
      <c r="N3" s="4"/>
      <c r="O3" s="13"/>
    </row>
    <row r="4" spans="1:17" x14ac:dyDescent="0.2">
      <c r="A4" s="20" t="s">
        <v>0</v>
      </c>
      <c r="B4" s="20">
        <v>10</v>
      </c>
      <c r="C4" s="20">
        <v>7</v>
      </c>
      <c r="D4" s="24">
        <f>C4-B4</f>
        <v>-3</v>
      </c>
      <c r="E4" s="25">
        <f t="shared" ref="E4:E9" si="0">D4/C4/100%</f>
        <v>-0.42857142857142855</v>
      </c>
      <c r="F4" s="9"/>
      <c r="G4" s="20">
        <v>25</v>
      </c>
      <c r="H4" s="23">
        <v>2</v>
      </c>
      <c r="I4" s="23">
        <f>H4-G4</f>
        <v>-23</v>
      </c>
      <c r="J4" s="21">
        <f t="shared" ref="J4:J9" si="1">I4/H4/100%</f>
        <v>-11.5</v>
      </c>
      <c r="K4" s="9"/>
      <c r="L4" s="20">
        <v>79</v>
      </c>
      <c r="M4" s="20">
        <v>46</v>
      </c>
      <c r="N4" s="20">
        <f t="shared" ref="N4:N9" si="2">M4-L4</f>
        <v>-33</v>
      </c>
      <c r="O4" s="30">
        <f t="shared" ref="O4:O9" si="3">N4/M4/100%</f>
        <v>-0.71739130434782605</v>
      </c>
      <c r="P4" s="28"/>
    </row>
    <row r="5" spans="1:17" x14ac:dyDescent="0.2">
      <c r="A5" s="20" t="s">
        <v>1</v>
      </c>
      <c r="B5" s="20">
        <v>233</v>
      </c>
      <c r="C5" s="20">
        <v>235</v>
      </c>
      <c r="D5" s="20">
        <f t="shared" ref="D5:D9" si="4">C5-B5</f>
        <v>2</v>
      </c>
      <c r="E5" s="21">
        <f t="shared" si="0"/>
        <v>8.5106382978723406E-3</v>
      </c>
      <c r="F5" s="22"/>
      <c r="G5" s="20">
        <v>82</v>
      </c>
      <c r="H5" s="23">
        <v>29</v>
      </c>
      <c r="I5" s="23">
        <f t="shared" ref="I5:I9" si="5">H5-G5</f>
        <v>-53</v>
      </c>
      <c r="J5" s="21">
        <f t="shared" si="1"/>
        <v>-1.8275862068965518</v>
      </c>
      <c r="K5" s="22"/>
      <c r="L5" s="20">
        <v>159</v>
      </c>
      <c r="M5" s="20">
        <v>107</v>
      </c>
      <c r="N5" s="20">
        <f t="shared" si="2"/>
        <v>-52</v>
      </c>
      <c r="O5" s="27">
        <f t="shared" si="3"/>
        <v>-0.48598130841121495</v>
      </c>
    </row>
    <row r="6" spans="1:17" x14ac:dyDescent="0.2">
      <c r="A6" s="20" t="s">
        <v>2</v>
      </c>
      <c r="B6" s="20">
        <v>64</v>
      </c>
      <c r="C6" s="20">
        <v>56</v>
      </c>
      <c r="D6" s="24">
        <f t="shared" si="4"/>
        <v>-8</v>
      </c>
      <c r="E6" s="25">
        <f t="shared" si="0"/>
        <v>-0.14285714285714285</v>
      </c>
      <c r="F6" s="22"/>
      <c r="G6" s="20">
        <v>346</v>
      </c>
      <c r="H6" s="23">
        <v>11</v>
      </c>
      <c r="I6" s="23">
        <f t="shared" si="5"/>
        <v>-335</v>
      </c>
      <c r="J6" s="21">
        <f t="shared" si="1"/>
        <v>-30.454545454545453</v>
      </c>
      <c r="K6" s="22"/>
      <c r="L6" s="20">
        <v>15</v>
      </c>
      <c r="M6" s="20">
        <v>34</v>
      </c>
      <c r="N6" s="23">
        <f t="shared" si="2"/>
        <v>19</v>
      </c>
      <c r="O6" s="30">
        <f t="shared" si="3"/>
        <v>0.55882352941176472</v>
      </c>
      <c r="P6" s="28"/>
    </row>
    <row r="7" spans="1:17" x14ac:dyDescent="0.2">
      <c r="A7" s="20" t="s">
        <v>3</v>
      </c>
      <c r="B7" s="20">
        <v>182</v>
      </c>
      <c r="C7" s="20">
        <v>187</v>
      </c>
      <c r="D7" s="20">
        <f t="shared" si="4"/>
        <v>5</v>
      </c>
      <c r="E7" s="26">
        <f t="shared" si="0"/>
        <v>2.6737967914438502E-2</v>
      </c>
      <c r="F7" s="22"/>
      <c r="G7" s="20">
        <v>93</v>
      </c>
      <c r="H7" s="23">
        <v>71</v>
      </c>
      <c r="I7" s="23">
        <f t="shared" si="5"/>
        <v>-22</v>
      </c>
      <c r="J7" s="21">
        <f t="shared" si="1"/>
        <v>-0.30985915492957744</v>
      </c>
      <c r="K7" s="22"/>
      <c r="L7" s="20">
        <v>80</v>
      </c>
      <c r="M7" s="20">
        <v>47</v>
      </c>
      <c r="N7" s="20">
        <f t="shared" si="2"/>
        <v>-33</v>
      </c>
      <c r="O7" s="29">
        <f t="shared" si="3"/>
        <v>-0.7021276595744681</v>
      </c>
    </row>
    <row r="8" spans="1:17" x14ac:dyDescent="0.2">
      <c r="A8" s="20" t="s">
        <v>4</v>
      </c>
      <c r="B8" s="20">
        <v>35</v>
      </c>
      <c r="C8" s="20">
        <v>36</v>
      </c>
      <c r="D8" s="20">
        <f t="shared" si="4"/>
        <v>1</v>
      </c>
      <c r="E8" s="21">
        <f t="shared" si="0"/>
        <v>2.7777777777777776E-2</v>
      </c>
      <c r="F8" s="22"/>
      <c r="G8" s="20">
        <v>40</v>
      </c>
      <c r="H8" s="23">
        <v>0</v>
      </c>
      <c r="I8" s="23">
        <f t="shared" si="5"/>
        <v>-40</v>
      </c>
      <c r="J8" s="21" t="e">
        <f t="shared" si="1"/>
        <v>#DIV/0!</v>
      </c>
      <c r="K8" s="22"/>
      <c r="L8" s="20">
        <v>41</v>
      </c>
      <c r="M8" s="20">
        <v>40</v>
      </c>
      <c r="N8" s="20">
        <f t="shared" si="2"/>
        <v>-1</v>
      </c>
      <c r="O8" s="30">
        <f t="shared" si="3"/>
        <v>-2.5000000000000001E-2</v>
      </c>
      <c r="P8" s="28"/>
      <c r="Q8" s="31"/>
    </row>
    <row r="9" spans="1:17" x14ac:dyDescent="0.2">
      <c r="A9" s="44" t="s">
        <v>5</v>
      </c>
      <c r="B9" s="45">
        <f>SUM(B4:B8)</f>
        <v>524</v>
      </c>
      <c r="C9" s="45">
        <f>SUM(C4:C8)</f>
        <v>521</v>
      </c>
      <c r="D9" s="46">
        <f t="shared" si="4"/>
        <v>-3</v>
      </c>
      <c r="E9" s="47">
        <f t="shared" si="0"/>
        <v>-5.7581573896353169E-3</v>
      </c>
      <c r="F9" s="48"/>
      <c r="G9" s="44">
        <f>SUM(G4:G8)</f>
        <v>586</v>
      </c>
      <c r="H9" s="49">
        <f>SUM(H4:H8)</f>
        <v>113</v>
      </c>
      <c r="I9" s="49">
        <f t="shared" si="5"/>
        <v>-473</v>
      </c>
      <c r="J9" s="50">
        <f t="shared" si="1"/>
        <v>-4.1858407079646014</v>
      </c>
      <c r="K9" s="48"/>
      <c r="L9" s="44">
        <f>SUM(L4:L8)</f>
        <v>374</v>
      </c>
      <c r="M9" s="45">
        <f>SUM(M4:M8)</f>
        <v>274</v>
      </c>
      <c r="N9" s="45">
        <f t="shared" si="2"/>
        <v>-100</v>
      </c>
      <c r="O9" s="51">
        <f t="shared" si="3"/>
        <v>-0.36496350364963503</v>
      </c>
    </row>
    <row r="10" spans="1:17" x14ac:dyDescent="0.2">
      <c r="A10" s="6"/>
      <c r="E10" s="16" t="s">
        <v>103</v>
      </c>
      <c r="F10" s="9"/>
      <c r="G10" s="6"/>
      <c r="H10" s="11"/>
      <c r="I10" s="11"/>
      <c r="J10" s="15" t="s">
        <v>103</v>
      </c>
      <c r="K10" s="9"/>
      <c r="L10" s="6"/>
      <c r="M10" s="2"/>
      <c r="O10" s="16" t="s">
        <v>103</v>
      </c>
    </row>
    <row r="11" spans="1:17" x14ac:dyDescent="0.2">
      <c r="A11" s="44" t="s">
        <v>6</v>
      </c>
      <c r="B11" s="45">
        <v>73</v>
      </c>
      <c r="C11" s="45">
        <v>70</v>
      </c>
      <c r="D11" s="46">
        <v>-3</v>
      </c>
      <c r="E11" s="47">
        <f>D11/C11/100%</f>
        <v>-4.2857142857142858E-2</v>
      </c>
      <c r="F11" s="52"/>
      <c r="G11" s="44">
        <v>225</v>
      </c>
      <c r="H11" s="49">
        <v>83</v>
      </c>
      <c r="I11" s="49">
        <f>H11-G11</f>
        <v>-142</v>
      </c>
      <c r="J11" s="50">
        <f>I11/H11/100%</f>
        <v>-1.7108433734939759</v>
      </c>
      <c r="K11" s="52"/>
      <c r="L11" s="44">
        <v>112</v>
      </c>
      <c r="M11" s="45">
        <v>122</v>
      </c>
      <c r="N11" s="49">
        <f>M11-L11</f>
        <v>10</v>
      </c>
      <c r="O11" s="50">
        <f>N11/M11/100%</f>
        <v>8.1967213114754092E-2</v>
      </c>
    </row>
    <row r="12" spans="1:17" x14ac:dyDescent="0.2">
      <c r="A12" s="6"/>
      <c r="E12" s="16" t="s">
        <v>103</v>
      </c>
      <c r="F12" s="9"/>
      <c r="G12" s="6"/>
      <c r="H12" s="11"/>
      <c r="I12" s="11"/>
      <c r="J12" s="15" t="s">
        <v>103</v>
      </c>
      <c r="K12" s="9"/>
      <c r="L12" s="6"/>
      <c r="O12" s="16" t="s">
        <v>103</v>
      </c>
    </row>
    <row r="13" spans="1:17" x14ac:dyDescent="0.2">
      <c r="A13" s="20" t="s">
        <v>7</v>
      </c>
      <c r="B13" s="20">
        <v>145</v>
      </c>
      <c r="C13" s="20">
        <v>84</v>
      </c>
      <c r="D13" s="24">
        <f t="shared" ref="D13:D18" si="6">C13-B13</f>
        <v>-61</v>
      </c>
      <c r="E13" s="25">
        <f t="shared" ref="E13:E18" si="7">D13/C13/100%</f>
        <v>-0.72619047619047616</v>
      </c>
      <c r="F13" s="22"/>
      <c r="G13" s="20">
        <v>78</v>
      </c>
      <c r="H13" s="23">
        <v>56</v>
      </c>
      <c r="I13" s="23">
        <f t="shared" ref="I13:I18" si="8">H13-G13</f>
        <v>-22</v>
      </c>
      <c r="J13" s="21">
        <f t="shared" ref="J13:J18" si="9">I13/H13/100%</f>
        <v>-0.39285714285714285</v>
      </c>
      <c r="K13" s="22"/>
      <c r="L13" s="20">
        <v>92</v>
      </c>
      <c r="M13" s="20">
        <v>69</v>
      </c>
      <c r="N13" s="20">
        <f t="shared" ref="N13:N18" si="10">M13-L13</f>
        <v>-23</v>
      </c>
      <c r="O13" s="27">
        <f t="shared" ref="O13:O18" si="11">N13/M13/100%</f>
        <v>-0.33333333333333331</v>
      </c>
    </row>
    <row r="14" spans="1:17" x14ac:dyDescent="0.2">
      <c r="A14" s="20" t="s">
        <v>8</v>
      </c>
      <c r="B14" s="20">
        <v>118</v>
      </c>
      <c r="C14" s="20">
        <v>93</v>
      </c>
      <c r="D14" s="24">
        <f t="shared" si="6"/>
        <v>-25</v>
      </c>
      <c r="E14" s="25">
        <f t="shared" si="7"/>
        <v>-0.26881720430107525</v>
      </c>
      <c r="F14" s="22"/>
      <c r="G14" s="20">
        <v>131</v>
      </c>
      <c r="H14" s="23">
        <v>1</v>
      </c>
      <c r="I14" s="23">
        <f t="shared" si="8"/>
        <v>-130</v>
      </c>
      <c r="J14" s="21">
        <f t="shared" si="9"/>
        <v>-130</v>
      </c>
      <c r="K14" s="22"/>
      <c r="L14" s="20">
        <v>132</v>
      </c>
      <c r="M14" s="20">
        <v>78</v>
      </c>
      <c r="N14" s="20">
        <f t="shared" si="10"/>
        <v>-54</v>
      </c>
      <c r="O14" s="27">
        <f t="shared" si="11"/>
        <v>-0.69230769230769229</v>
      </c>
      <c r="P14" s="37"/>
    </row>
    <row r="15" spans="1:17" x14ac:dyDescent="0.2">
      <c r="A15" s="20" t="s">
        <v>9</v>
      </c>
      <c r="B15" s="20">
        <v>52</v>
      </c>
      <c r="C15" s="20">
        <v>58</v>
      </c>
      <c r="D15" s="20">
        <f t="shared" si="6"/>
        <v>6</v>
      </c>
      <c r="E15" s="21">
        <f t="shared" si="7"/>
        <v>0.10344827586206896</v>
      </c>
      <c r="F15" s="22"/>
      <c r="G15" s="20">
        <v>20</v>
      </c>
      <c r="H15" s="23">
        <v>27</v>
      </c>
      <c r="I15" s="32">
        <f t="shared" si="8"/>
        <v>7</v>
      </c>
      <c r="J15" s="33">
        <f t="shared" si="9"/>
        <v>0.25925925925925924</v>
      </c>
      <c r="K15" s="22"/>
      <c r="L15" s="20">
        <v>92</v>
      </c>
      <c r="M15" s="20">
        <v>63</v>
      </c>
      <c r="N15" s="20">
        <f t="shared" si="10"/>
        <v>-29</v>
      </c>
      <c r="O15" s="27">
        <f t="shared" si="11"/>
        <v>-0.46031746031746029</v>
      </c>
    </row>
    <row r="16" spans="1:17" x14ac:dyDescent="0.2">
      <c r="A16" s="20" t="s">
        <v>10</v>
      </c>
      <c r="B16" s="20">
        <v>15</v>
      </c>
      <c r="C16" s="20">
        <v>26</v>
      </c>
      <c r="D16" s="20">
        <f t="shared" si="6"/>
        <v>11</v>
      </c>
      <c r="E16" s="21">
        <f t="shared" si="7"/>
        <v>0.42307692307692307</v>
      </c>
      <c r="F16" s="22"/>
      <c r="G16" s="20">
        <v>75</v>
      </c>
      <c r="H16" s="23">
        <v>20</v>
      </c>
      <c r="I16" s="23">
        <f t="shared" si="8"/>
        <v>-55</v>
      </c>
      <c r="J16" s="21">
        <f t="shared" si="9"/>
        <v>-2.75</v>
      </c>
      <c r="K16" s="22"/>
      <c r="L16" s="20">
        <v>139</v>
      </c>
      <c r="M16" s="20">
        <v>52</v>
      </c>
      <c r="N16" s="20">
        <f t="shared" si="10"/>
        <v>-87</v>
      </c>
      <c r="O16" s="30">
        <f t="shared" si="11"/>
        <v>-1.6730769230769231</v>
      </c>
      <c r="P16" s="28"/>
    </row>
    <row r="17" spans="1:16" x14ac:dyDescent="0.2">
      <c r="A17" s="20" t="s">
        <v>11</v>
      </c>
      <c r="B17" s="20">
        <v>41</v>
      </c>
      <c r="C17" s="20">
        <v>47</v>
      </c>
      <c r="D17" s="20">
        <f t="shared" si="6"/>
        <v>6</v>
      </c>
      <c r="E17" s="21">
        <f t="shared" si="7"/>
        <v>0.1276595744680851</v>
      </c>
      <c r="F17" s="22"/>
      <c r="G17" s="20">
        <v>83</v>
      </c>
      <c r="H17" s="23">
        <v>55</v>
      </c>
      <c r="I17" s="23">
        <f t="shared" si="8"/>
        <v>-28</v>
      </c>
      <c r="J17" s="21">
        <f t="shared" si="9"/>
        <v>-0.50909090909090904</v>
      </c>
      <c r="K17" s="22"/>
      <c r="L17" s="20">
        <v>103</v>
      </c>
      <c r="M17" s="20">
        <v>49</v>
      </c>
      <c r="N17" s="20">
        <f t="shared" si="10"/>
        <v>-54</v>
      </c>
      <c r="O17" s="27">
        <f t="shared" si="11"/>
        <v>-1.1020408163265305</v>
      </c>
    </row>
    <row r="18" spans="1:16" x14ac:dyDescent="0.2">
      <c r="A18" s="44" t="s">
        <v>12</v>
      </c>
      <c r="B18" s="45">
        <f>SUM(B13:B17)</f>
        <v>371</v>
      </c>
      <c r="C18" s="45">
        <f>SUM(C13:C17)</f>
        <v>308</v>
      </c>
      <c r="D18" s="46">
        <f t="shared" si="6"/>
        <v>-63</v>
      </c>
      <c r="E18" s="47">
        <f t="shared" si="7"/>
        <v>-0.20454545454545456</v>
      </c>
      <c r="F18" s="48"/>
      <c r="G18" s="44">
        <f>SUM(G13:G17)</f>
        <v>387</v>
      </c>
      <c r="H18" s="49">
        <f>SUM(H13:H17)</f>
        <v>159</v>
      </c>
      <c r="I18" s="49">
        <f t="shared" si="8"/>
        <v>-228</v>
      </c>
      <c r="J18" s="50">
        <f t="shared" si="9"/>
        <v>-1.4339622641509433</v>
      </c>
      <c r="K18" s="48"/>
      <c r="L18" s="44">
        <f>SUM(L13:L17)</f>
        <v>558</v>
      </c>
      <c r="M18" s="45">
        <f>SUM(M13:M17)</f>
        <v>311</v>
      </c>
      <c r="N18" s="45">
        <f t="shared" si="10"/>
        <v>-247</v>
      </c>
      <c r="O18" s="50">
        <f t="shared" si="11"/>
        <v>-0.79421221864951763</v>
      </c>
    </row>
    <row r="19" spans="1:16" x14ac:dyDescent="0.2">
      <c r="A19" s="6"/>
      <c r="E19" s="16" t="s">
        <v>103</v>
      </c>
      <c r="F19" s="9"/>
      <c r="G19" s="6"/>
      <c r="H19" s="11"/>
      <c r="I19" s="11"/>
      <c r="J19" s="15" t="s">
        <v>103</v>
      </c>
      <c r="K19" s="9"/>
      <c r="L19" s="6"/>
      <c r="O19" s="15" t="s">
        <v>103</v>
      </c>
    </row>
    <row r="20" spans="1:16" x14ac:dyDescent="0.2">
      <c r="A20" s="20" t="s">
        <v>13</v>
      </c>
      <c r="B20" s="20">
        <v>84</v>
      </c>
      <c r="C20" s="20">
        <v>95</v>
      </c>
      <c r="D20" s="20">
        <f t="shared" ref="D20:D25" si="12">C20-B20</f>
        <v>11</v>
      </c>
      <c r="E20" s="21">
        <f t="shared" ref="E20:E25" si="13">D20/C20/100%</f>
        <v>0.11578947368421053</v>
      </c>
      <c r="F20" s="22"/>
      <c r="G20" s="20">
        <v>771</v>
      </c>
      <c r="H20" s="23">
        <v>325</v>
      </c>
      <c r="I20" s="23">
        <f t="shared" ref="I20:I25" si="14">H20-G20</f>
        <v>-446</v>
      </c>
      <c r="J20" s="21">
        <f t="shared" ref="J20:J25" si="15">I20/H20/100%</f>
        <v>-1.3723076923076922</v>
      </c>
      <c r="K20" s="22"/>
      <c r="L20" s="20">
        <v>931</v>
      </c>
      <c r="M20" s="20">
        <v>269</v>
      </c>
      <c r="N20" s="20">
        <f t="shared" ref="N20:N25" si="16">M20-L20</f>
        <v>-662</v>
      </c>
      <c r="O20" s="27">
        <f t="shared" ref="O20:O25" si="17">N20/M20/100%</f>
        <v>-2.4609665427509295</v>
      </c>
    </row>
    <row r="21" spans="1:16" x14ac:dyDescent="0.2">
      <c r="A21" s="20" t="s">
        <v>14</v>
      </c>
      <c r="B21" s="20">
        <v>64</v>
      </c>
      <c r="C21" s="20">
        <v>66</v>
      </c>
      <c r="D21" s="20">
        <f t="shared" si="12"/>
        <v>2</v>
      </c>
      <c r="E21" s="21">
        <f t="shared" si="13"/>
        <v>3.0303030303030304E-2</v>
      </c>
      <c r="F21" s="22"/>
      <c r="G21" s="20">
        <v>269</v>
      </c>
      <c r="H21" s="23">
        <v>211</v>
      </c>
      <c r="I21" s="23">
        <f t="shared" si="14"/>
        <v>-58</v>
      </c>
      <c r="J21" s="21">
        <f t="shared" si="15"/>
        <v>-0.27488151658767773</v>
      </c>
      <c r="K21" s="22"/>
      <c r="L21" s="20">
        <v>224</v>
      </c>
      <c r="M21" s="20">
        <v>143</v>
      </c>
      <c r="N21" s="20">
        <f t="shared" si="16"/>
        <v>-81</v>
      </c>
      <c r="O21" s="30">
        <f t="shared" si="17"/>
        <v>-0.56643356643356646</v>
      </c>
      <c r="P21" s="28"/>
    </row>
    <row r="22" spans="1:16" x14ac:dyDescent="0.2">
      <c r="A22" s="20" t="s">
        <v>15</v>
      </c>
      <c r="B22" s="20">
        <v>131</v>
      </c>
      <c r="C22" s="20">
        <v>115</v>
      </c>
      <c r="D22" s="24">
        <f t="shared" si="12"/>
        <v>-16</v>
      </c>
      <c r="E22" s="25">
        <f t="shared" si="13"/>
        <v>-0.1391304347826087</v>
      </c>
      <c r="F22" s="22"/>
      <c r="G22" s="20">
        <v>234</v>
      </c>
      <c r="H22" s="23">
        <v>208</v>
      </c>
      <c r="I22" s="23">
        <f t="shared" si="14"/>
        <v>-26</v>
      </c>
      <c r="J22" s="21">
        <f t="shared" si="15"/>
        <v>-0.125</v>
      </c>
      <c r="K22" s="22"/>
      <c r="L22" s="20">
        <v>398</v>
      </c>
      <c r="M22" s="20">
        <v>280</v>
      </c>
      <c r="N22" s="20">
        <f t="shared" si="16"/>
        <v>-118</v>
      </c>
      <c r="O22" s="27">
        <f t="shared" si="17"/>
        <v>-0.42142857142857143</v>
      </c>
    </row>
    <row r="23" spans="1:16" x14ac:dyDescent="0.2">
      <c r="A23" s="20" t="s">
        <v>16</v>
      </c>
      <c r="B23" s="20">
        <v>129</v>
      </c>
      <c r="C23" s="20">
        <v>114</v>
      </c>
      <c r="D23" s="24">
        <f t="shared" si="12"/>
        <v>-15</v>
      </c>
      <c r="E23" s="25">
        <f t="shared" si="13"/>
        <v>-0.13157894736842105</v>
      </c>
      <c r="F23" s="22"/>
      <c r="G23" s="20">
        <v>290</v>
      </c>
      <c r="H23" s="23">
        <v>139</v>
      </c>
      <c r="I23" s="23">
        <f t="shared" si="14"/>
        <v>-151</v>
      </c>
      <c r="J23" s="21">
        <f t="shared" si="15"/>
        <v>-1.0863309352517985</v>
      </c>
      <c r="K23" s="22"/>
      <c r="L23" s="20">
        <v>282</v>
      </c>
      <c r="M23" s="20">
        <v>179</v>
      </c>
      <c r="N23" s="20">
        <f t="shared" si="16"/>
        <v>-103</v>
      </c>
      <c r="O23" s="30">
        <f t="shared" si="17"/>
        <v>-0.57541899441340782</v>
      </c>
      <c r="P23" s="28"/>
    </row>
    <row r="24" spans="1:16" x14ac:dyDescent="0.2">
      <c r="A24" s="20" t="s">
        <v>17</v>
      </c>
      <c r="B24" s="20">
        <v>160</v>
      </c>
      <c r="C24" s="20">
        <v>153</v>
      </c>
      <c r="D24" s="24">
        <f t="shared" si="12"/>
        <v>-7</v>
      </c>
      <c r="E24" s="25">
        <f t="shared" si="13"/>
        <v>-4.5751633986928102E-2</v>
      </c>
      <c r="F24" s="22"/>
      <c r="G24" s="20">
        <v>287</v>
      </c>
      <c r="H24" s="23">
        <v>266</v>
      </c>
      <c r="I24" s="23">
        <f t="shared" si="14"/>
        <v>-21</v>
      </c>
      <c r="J24" s="21">
        <f t="shared" si="15"/>
        <v>-7.8947368421052627E-2</v>
      </c>
      <c r="K24" s="22"/>
      <c r="L24" s="20">
        <v>352</v>
      </c>
      <c r="M24" s="20">
        <v>248</v>
      </c>
      <c r="N24" s="20">
        <f t="shared" si="16"/>
        <v>-104</v>
      </c>
      <c r="O24" s="30">
        <f t="shared" si="17"/>
        <v>-0.41935483870967744</v>
      </c>
      <c r="P24" s="28"/>
    </row>
    <row r="25" spans="1:16" x14ac:dyDescent="0.2">
      <c r="A25" s="53" t="s">
        <v>18</v>
      </c>
      <c r="B25" s="45">
        <f>SUM(B20:B24)</f>
        <v>568</v>
      </c>
      <c r="C25" s="45">
        <f>SUM(C20:C24)</f>
        <v>543</v>
      </c>
      <c r="D25" s="46">
        <f t="shared" si="12"/>
        <v>-25</v>
      </c>
      <c r="E25" s="47">
        <f t="shared" si="13"/>
        <v>-4.6040515653775323E-2</v>
      </c>
      <c r="F25" s="48"/>
      <c r="G25" s="44">
        <f>SUM(G20:G24)</f>
        <v>1851</v>
      </c>
      <c r="H25" s="49">
        <f>SUM(H20:H24)</f>
        <v>1149</v>
      </c>
      <c r="I25" s="49">
        <f t="shared" si="14"/>
        <v>-702</v>
      </c>
      <c r="J25" s="50">
        <f t="shared" si="15"/>
        <v>-0.61096605744125332</v>
      </c>
      <c r="K25" s="48"/>
      <c r="L25" s="44">
        <f>SUM(L20:L24)</f>
        <v>2187</v>
      </c>
      <c r="M25" s="45">
        <f>SUM(M20:M24)</f>
        <v>1119</v>
      </c>
      <c r="N25" s="45">
        <f t="shared" si="16"/>
        <v>-1068</v>
      </c>
      <c r="O25" s="50">
        <f t="shared" si="17"/>
        <v>-0.95442359249329756</v>
      </c>
    </row>
    <row r="26" spans="1:16" x14ac:dyDescent="0.2">
      <c r="A26" s="6"/>
      <c r="E26" s="16" t="s">
        <v>103</v>
      </c>
      <c r="F26" s="9"/>
      <c r="G26" s="6"/>
      <c r="H26" s="11"/>
      <c r="I26" s="11"/>
      <c r="J26" s="15" t="s">
        <v>103</v>
      </c>
      <c r="K26" s="9"/>
      <c r="L26" s="6"/>
      <c r="O26" s="15" t="s">
        <v>103</v>
      </c>
    </row>
    <row r="27" spans="1:16" x14ac:dyDescent="0.2">
      <c r="A27" s="20" t="s">
        <v>19</v>
      </c>
      <c r="B27" s="20">
        <v>346</v>
      </c>
      <c r="C27" s="20">
        <v>352</v>
      </c>
      <c r="D27" s="20">
        <f t="shared" ref="D27:D37" si="18">C27-B27</f>
        <v>6</v>
      </c>
      <c r="E27" s="21">
        <f t="shared" ref="E27:E37" si="19">D27/C27/100%</f>
        <v>1.7045454545454544E-2</v>
      </c>
      <c r="F27" s="22"/>
      <c r="G27" s="23">
        <v>142</v>
      </c>
      <c r="H27" s="23">
        <v>73</v>
      </c>
      <c r="I27" s="23">
        <f t="shared" ref="I27:I37" si="20">H27-G27</f>
        <v>-69</v>
      </c>
      <c r="J27" s="21">
        <f t="shared" ref="J27:J37" si="21">I27/H27/100%</f>
        <v>-0.9452054794520548</v>
      </c>
      <c r="K27" s="22"/>
      <c r="L27" s="20">
        <v>236</v>
      </c>
      <c r="M27" s="20">
        <v>166</v>
      </c>
      <c r="N27" s="20">
        <f t="shared" ref="N27:N37" si="22">M27-L27</f>
        <v>-70</v>
      </c>
      <c r="O27" s="27">
        <f t="shared" ref="O27:O37" si="23">N27/M27/100%</f>
        <v>-0.42168674698795183</v>
      </c>
    </row>
    <row r="28" spans="1:16" x14ac:dyDescent="0.2">
      <c r="A28" s="20" t="s">
        <v>20</v>
      </c>
      <c r="B28" s="20">
        <v>114</v>
      </c>
      <c r="C28" s="20">
        <v>148</v>
      </c>
      <c r="D28" s="20">
        <f t="shared" si="18"/>
        <v>34</v>
      </c>
      <c r="E28" s="21">
        <f t="shared" si="19"/>
        <v>0.22972972972972974</v>
      </c>
      <c r="F28" s="22"/>
      <c r="G28" s="20">
        <v>36</v>
      </c>
      <c r="H28" s="23">
        <v>20</v>
      </c>
      <c r="I28" s="23">
        <f t="shared" si="20"/>
        <v>-16</v>
      </c>
      <c r="J28" s="21">
        <f t="shared" si="21"/>
        <v>-0.8</v>
      </c>
      <c r="K28" s="22"/>
      <c r="L28" s="20">
        <v>74</v>
      </c>
      <c r="M28" s="20">
        <v>66</v>
      </c>
      <c r="N28" s="20">
        <f t="shared" si="22"/>
        <v>-8</v>
      </c>
      <c r="O28" s="30">
        <f t="shared" si="23"/>
        <v>-0.12121212121212122</v>
      </c>
      <c r="P28" s="28"/>
    </row>
    <row r="29" spans="1:16" x14ac:dyDescent="0.2">
      <c r="A29" s="20" t="s">
        <v>21</v>
      </c>
      <c r="B29" s="20">
        <v>366</v>
      </c>
      <c r="C29" s="20">
        <v>361</v>
      </c>
      <c r="D29" s="24">
        <f t="shared" si="18"/>
        <v>-5</v>
      </c>
      <c r="E29" s="25">
        <f t="shared" si="19"/>
        <v>-1.3850415512465374E-2</v>
      </c>
      <c r="F29" s="22"/>
      <c r="G29" s="20">
        <v>135</v>
      </c>
      <c r="H29" s="23">
        <v>92</v>
      </c>
      <c r="I29" s="23">
        <f t="shared" si="20"/>
        <v>-43</v>
      </c>
      <c r="J29" s="21">
        <f t="shared" si="21"/>
        <v>-0.46739130434782611</v>
      </c>
      <c r="K29" s="22"/>
      <c r="L29" s="20">
        <v>99</v>
      </c>
      <c r="M29" s="20">
        <v>66</v>
      </c>
      <c r="N29" s="20">
        <f t="shared" si="22"/>
        <v>-33</v>
      </c>
      <c r="O29" s="27">
        <f t="shared" si="23"/>
        <v>-0.5</v>
      </c>
    </row>
    <row r="30" spans="1:16" x14ac:dyDescent="0.2">
      <c r="A30" s="20" t="s">
        <v>22</v>
      </c>
      <c r="B30" s="20">
        <v>71</v>
      </c>
      <c r="C30" s="20">
        <v>84</v>
      </c>
      <c r="D30" s="20">
        <f t="shared" si="18"/>
        <v>13</v>
      </c>
      <c r="E30" s="21">
        <f t="shared" si="19"/>
        <v>0.15476190476190477</v>
      </c>
      <c r="F30" s="22"/>
      <c r="G30" s="20">
        <v>71</v>
      </c>
      <c r="H30" s="23">
        <v>28</v>
      </c>
      <c r="I30" s="23">
        <f t="shared" si="20"/>
        <v>-43</v>
      </c>
      <c r="J30" s="21">
        <f t="shared" si="21"/>
        <v>-1.5357142857142858</v>
      </c>
      <c r="K30" s="22"/>
      <c r="L30" s="20">
        <v>47</v>
      </c>
      <c r="M30" s="20">
        <v>31</v>
      </c>
      <c r="N30" s="20">
        <f t="shared" si="22"/>
        <v>-16</v>
      </c>
      <c r="O30" s="30">
        <f t="shared" si="23"/>
        <v>-0.5161290322580645</v>
      </c>
      <c r="P30" s="28"/>
    </row>
    <row r="31" spans="1:16" x14ac:dyDescent="0.2">
      <c r="A31" s="20" t="s">
        <v>23</v>
      </c>
      <c r="B31" s="20">
        <v>635</v>
      </c>
      <c r="C31" s="20">
        <v>684</v>
      </c>
      <c r="D31" s="20">
        <f t="shared" si="18"/>
        <v>49</v>
      </c>
      <c r="E31" s="21">
        <f t="shared" si="19"/>
        <v>7.1637426900584791E-2</v>
      </c>
      <c r="F31" s="22"/>
      <c r="G31" s="20">
        <v>303</v>
      </c>
      <c r="H31" s="23">
        <v>218</v>
      </c>
      <c r="I31" s="23">
        <f t="shared" si="20"/>
        <v>-85</v>
      </c>
      <c r="J31" s="21">
        <f t="shared" si="21"/>
        <v>-0.38990825688073394</v>
      </c>
      <c r="K31" s="22"/>
      <c r="L31" s="20">
        <v>318</v>
      </c>
      <c r="M31" s="20">
        <v>277</v>
      </c>
      <c r="N31" s="20">
        <f t="shared" si="22"/>
        <v>-41</v>
      </c>
      <c r="O31" s="30">
        <f t="shared" si="23"/>
        <v>-0.14801444043321299</v>
      </c>
      <c r="P31" s="28"/>
    </row>
    <row r="32" spans="1:16" x14ac:dyDescent="0.2">
      <c r="A32" s="20" t="s">
        <v>24</v>
      </c>
      <c r="B32" s="20">
        <v>213</v>
      </c>
      <c r="C32" s="20">
        <v>206</v>
      </c>
      <c r="D32" s="24">
        <f t="shared" si="18"/>
        <v>-7</v>
      </c>
      <c r="E32" s="25">
        <f t="shared" si="19"/>
        <v>-3.3980582524271843E-2</v>
      </c>
      <c r="F32" s="22"/>
      <c r="G32" s="20">
        <v>191</v>
      </c>
      <c r="H32" s="23">
        <v>90</v>
      </c>
      <c r="I32" s="23">
        <f t="shared" si="20"/>
        <v>-101</v>
      </c>
      <c r="J32" s="21">
        <f t="shared" si="21"/>
        <v>-1.1222222222222222</v>
      </c>
      <c r="K32" s="22"/>
      <c r="L32" s="20">
        <v>65</v>
      </c>
      <c r="M32" s="20">
        <v>56</v>
      </c>
      <c r="N32" s="20">
        <f t="shared" si="22"/>
        <v>-9</v>
      </c>
      <c r="O32" s="27">
        <f t="shared" si="23"/>
        <v>-0.16071428571428573</v>
      </c>
    </row>
    <row r="33" spans="1:16" x14ac:dyDescent="0.2">
      <c r="A33" s="20" t="s">
        <v>25</v>
      </c>
      <c r="B33" s="20">
        <v>70</v>
      </c>
      <c r="C33" s="20">
        <v>67</v>
      </c>
      <c r="D33" s="24">
        <f t="shared" si="18"/>
        <v>-3</v>
      </c>
      <c r="E33" s="25">
        <f t="shared" si="19"/>
        <v>-4.4776119402985072E-2</v>
      </c>
      <c r="F33" s="22"/>
      <c r="G33" s="20">
        <v>3</v>
      </c>
      <c r="H33" s="23">
        <v>1</v>
      </c>
      <c r="I33" s="23">
        <f t="shared" si="20"/>
        <v>-2</v>
      </c>
      <c r="J33" s="21">
        <f t="shared" si="21"/>
        <v>-2</v>
      </c>
      <c r="K33" s="22"/>
      <c r="L33" s="20">
        <v>18</v>
      </c>
      <c r="M33" s="20">
        <v>16</v>
      </c>
      <c r="N33" s="20">
        <f t="shared" si="22"/>
        <v>-2</v>
      </c>
      <c r="O33" s="30">
        <f t="shared" si="23"/>
        <v>-0.125</v>
      </c>
      <c r="P33" s="28"/>
    </row>
    <row r="34" spans="1:16" x14ac:dyDescent="0.2">
      <c r="A34" s="20" t="s">
        <v>26</v>
      </c>
      <c r="B34" s="20">
        <v>133</v>
      </c>
      <c r="C34" s="20">
        <v>202</v>
      </c>
      <c r="D34" s="20">
        <f t="shared" si="18"/>
        <v>69</v>
      </c>
      <c r="E34" s="21">
        <f t="shared" si="19"/>
        <v>0.34158415841584161</v>
      </c>
      <c r="F34" s="22"/>
      <c r="G34" s="20">
        <v>36</v>
      </c>
      <c r="H34" s="23">
        <v>28</v>
      </c>
      <c r="I34" s="23">
        <f t="shared" si="20"/>
        <v>-8</v>
      </c>
      <c r="J34" s="21">
        <f t="shared" si="21"/>
        <v>-0.2857142857142857</v>
      </c>
      <c r="K34" s="22"/>
      <c r="L34" s="20">
        <v>47</v>
      </c>
      <c r="M34" s="20">
        <v>33</v>
      </c>
      <c r="N34" s="20">
        <f t="shared" si="22"/>
        <v>-14</v>
      </c>
      <c r="O34" s="30">
        <f t="shared" si="23"/>
        <v>-0.42424242424242425</v>
      </c>
      <c r="P34" s="28"/>
    </row>
    <row r="35" spans="1:16" x14ac:dyDescent="0.2">
      <c r="A35" s="20" t="s">
        <v>27</v>
      </c>
      <c r="B35" s="20">
        <v>460</v>
      </c>
      <c r="C35" s="20">
        <v>516</v>
      </c>
      <c r="D35" s="20">
        <f t="shared" si="18"/>
        <v>56</v>
      </c>
      <c r="E35" s="26">
        <f t="shared" si="19"/>
        <v>0.10852713178294573</v>
      </c>
      <c r="F35" s="22"/>
      <c r="G35" s="20">
        <v>244</v>
      </c>
      <c r="H35" s="23">
        <v>124</v>
      </c>
      <c r="I35" s="23">
        <f t="shared" si="20"/>
        <v>-120</v>
      </c>
      <c r="J35" s="21">
        <f t="shared" si="21"/>
        <v>-0.967741935483871</v>
      </c>
      <c r="K35" s="22"/>
      <c r="L35" s="20">
        <v>152</v>
      </c>
      <c r="M35" s="20">
        <v>105</v>
      </c>
      <c r="N35" s="20">
        <f t="shared" si="22"/>
        <v>-47</v>
      </c>
      <c r="O35" s="30">
        <f t="shared" si="23"/>
        <v>-0.44761904761904764</v>
      </c>
      <c r="P35" s="28"/>
    </row>
    <row r="36" spans="1:16" x14ac:dyDescent="0.2">
      <c r="A36" s="20" t="s">
        <v>28</v>
      </c>
      <c r="B36" s="20">
        <v>96</v>
      </c>
      <c r="C36" s="20">
        <v>119</v>
      </c>
      <c r="D36" s="20">
        <f t="shared" si="18"/>
        <v>23</v>
      </c>
      <c r="E36" s="26">
        <f t="shared" si="19"/>
        <v>0.19327731092436976</v>
      </c>
      <c r="F36" s="22"/>
      <c r="G36" s="20">
        <v>24</v>
      </c>
      <c r="H36" s="23">
        <v>5</v>
      </c>
      <c r="I36" s="23">
        <f t="shared" si="20"/>
        <v>-19</v>
      </c>
      <c r="J36" s="21">
        <f t="shared" si="21"/>
        <v>-3.8</v>
      </c>
      <c r="K36" s="22"/>
      <c r="L36" s="20">
        <v>45</v>
      </c>
      <c r="M36" s="20">
        <v>33</v>
      </c>
      <c r="N36" s="20">
        <f t="shared" si="22"/>
        <v>-12</v>
      </c>
      <c r="O36" s="30">
        <f t="shared" si="23"/>
        <v>-0.36363636363636365</v>
      </c>
      <c r="P36" s="28"/>
    </row>
    <row r="37" spans="1:16" x14ac:dyDescent="0.2">
      <c r="A37" s="44" t="s">
        <v>29</v>
      </c>
      <c r="B37" s="45">
        <f>SUM(B27:B36)</f>
        <v>2504</v>
      </c>
      <c r="C37" s="45">
        <f>SUM(C27:C36)</f>
        <v>2739</v>
      </c>
      <c r="D37" s="45">
        <f t="shared" si="18"/>
        <v>235</v>
      </c>
      <c r="E37" s="50">
        <f t="shared" si="19"/>
        <v>8.5797736400146041E-2</v>
      </c>
      <c r="F37" s="48"/>
      <c r="G37" s="44">
        <f>SUM(G27:G36)</f>
        <v>1185</v>
      </c>
      <c r="H37" s="49">
        <f>SUM(H27:H36)</f>
        <v>679</v>
      </c>
      <c r="I37" s="49">
        <f t="shared" si="20"/>
        <v>-506</v>
      </c>
      <c r="J37" s="50">
        <f t="shared" si="21"/>
        <v>-0.74521354933726069</v>
      </c>
      <c r="K37" s="48"/>
      <c r="L37" s="44">
        <f>SUM(L27:L36)</f>
        <v>1101</v>
      </c>
      <c r="M37" s="45">
        <f>SUM(M27:M36)</f>
        <v>849</v>
      </c>
      <c r="N37" s="45">
        <f t="shared" si="22"/>
        <v>-252</v>
      </c>
      <c r="O37" s="50">
        <f t="shared" si="23"/>
        <v>-0.29681978798586572</v>
      </c>
    </row>
    <row r="38" spans="1:16" x14ac:dyDescent="0.2">
      <c r="A38" s="6"/>
      <c r="E38" s="16" t="s">
        <v>103</v>
      </c>
      <c r="F38" s="9"/>
      <c r="G38" s="6"/>
      <c r="H38" s="11"/>
      <c r="I38" s="11"/>
      <c r="J38" s="15" t="s">
        <v>103</v>
      </c>
      <c r="K38" s="9"/>
      <c r="L38" s="7"/>
      <c r="O38" s="15" t="s">
        <v>103</v>
      </c>
    </row>
    <row r="39" spans="1:16" x14ac:dyDescent="0.2">
      <c r="A39" s="44" t="s">
        <v>30</v>
      </c>
      <c r="B39" s="45">
        <v>102</v>
      </c>
      <c r="C39" s="45">
        <v>84</v>
      </c>
      <c r="D39" s="46">
        <f>C39-B39</f>
        <v>-18</v>
      </c>
      <c r="E39" s="47">
        <f>D39/C39/100%</f>
        <v>-0.21428571428571427</v>
      </c>
      <c r="F39" s="52"/>
      <c r="G39" s="44">
        <v>96</v>
      </c>
      <c r="H39" s="49">
        <v>30</v>
      </c>
      <c r="I39" s="49">
        <f>H39-G39</f>
        <v>-66</v>
      </c>
      <c r="J39" s="50">
        <f>I39/H39/100%</f>
        <v>-2.2000000000000002</v>
      </c>
      <c r="K39" s="52"/>
      <c r="L39" s="44">
        <v>48</v>
      </c>
      <c r="M39" s="45">
        <v>40</v>
      </c>
      <c r="N39" s="45">
        <f>M39-L39</f>
        <v>-8</v>
      </c>
      <c r="O39" s="50">
        <f>N39/M39/100%</f>
        <v>-0.2</v>
      </c>
    </row>
    <row r="40" spans="1:16" x14ac:dyDescent="0.2">
      <c r="A40" s="6"/>
      <c r="E40" s="16" t="s">
        <v>103</v>
      </c>
      <c r="F40" s="9"/>
      <c r="G40" s="6"/>
      <c r="H40" s="11"/>
      <c r="I40" s="11"/>
      <c r="J40" s="15" t="s">
        <v>103</v>
      </c>
      <c r="K40" s="9"/>
      <c r="L40" s="6"/>
      <c r="O40" s="15" t="s">
        <v>103</v>
      </c>
    </row>
    <row r="41" spans="1:16" x14ac:dyDescent="0.2">
      <c r="A41" s="20" t="s">
        <v>31</v>
      </c>
      <c r="B41" s="20">
        <v>50</v>
      </c>
      <c r="C41" s="20">
        <v>64</v>
      </c>
      <c r="D41" s="20">
        <f t="shared" ref="D41:D46" si="24">C41-B41</f>
        <v>14</v>
      </c>
      <c r="E41" s="26">
        <f t="shared" ref="E41:E46" si="25">D41/C41/100%</f>
        <v>0.21875</v>
      </c>
      <c r="F41" s="22"/>
      <c r="G41" s="20">
        <v>54</v>
      </c>
      <c r="H41" s="23">
        <v>5</v>
      </c>
      <c r="I41" s="23">
        <f t="shared" ref="I41:I46" si="26">H41-G41</f>
        <v>-49</v>
      </c>
      <c r="J41" s="21">
        <f t="shared" ref="J41:J46" si="27">I41/H41/100%</f>
        <v>-9.8000000000000007</v>
      </c>
      <c r="K41" s="22"/>
      <c r="L41" s="20">
        <v>50</v>
      </c>
      <c r="M41" s="20">
        <v>18</v>
      </c>
      <c r="N41" s="20">
        <f t="shared" ref="N41:N46" si="28">M41-L41</f>
        <v>-32</v>
      </c>
      <c r="O41" s="27">
        <f t="shared" ref="O41:O46" si="29">N41/M41/100%</f>
        <v>-1.7777777777777777</v>
      </c>
    </row>
    <row r="42" spans="1:16" x14ac:dyDescent="0.2">
      <c r="A42" s="20" t="s">
        <v>32</v>
      </c>
      <c r="B42" s="20">
        <v>76</v>
      </c>
      <c r="C42" s="20">
        <v>74</v>
      </c>
      <c r="D42" s="24">
        <f t="shared" si="24"/>
        <v>-2</v>
      </c>
      <c r="E42" s="25">
        <f t="shared" si="25"/>
        <v>-2.7027027027027029E-2</v>
      </c>
      <c r="F42" s="22"/>
      <c r="G42" s="20">
        <v>59</v>
      </c>
      <c r="H42" s="23">
        <v>19</v>
      </c>
      <c r="I42" s="23">
        <f t="shared" si="26"/>
        <v>-40</v>
      </c>
      <c r="J42" s="21">
        <f t="shared" si="27"/>
        <v>-2.1052631578947367</v>
      </c>
      <c r="K42" s="22"/>
      <c r="L42" s="20">
        <v>105</v>
      </c>
      <c r="M42" s="20">
        <v>80</v>
      </c>
      <c r="N42" s="20">
        <f t="shared" si="28"/>
        <v>-25</v>
      </c>
      <c r="O42" s="27">
        <f t="shared" si="29"/>
        <v>-0.3125</v>
      </c>
    </row>
    <row r="43" spans="1:16" x14ac:dyDescent="0.2">
      <c r="A43" s="20" t="s">
        <v>33</v>
      </c>
      <c r="B43" s="20">
        <v>9</v>
      </c>
      <c r="C43" s="20">
        <v>17</v>
      </c>
      <c r="D43" s="20">
        <f t="shared" si="24"/>
        <v>8</v>
      </c>
      <c r="E43" s="21">
        <f t="shared" si="25"/>
        <v>0.47058823529411764</v>
      </c>
      <c r="F43" s="22"/>
      <c r="G43" s="20">
        <v>0</v>
      </c>
      <c r="H43" s="23">
        <v>2</v>
      </c>
      <c r="I43" s="32">
        <f t="shared" si="26"/>
        <v>2</v>
      </c>
      <c r="J43" s="33">
        <f t="shared" si="27"/>
        <v>1</v>
      </c>
      <c r="K43" s="22"/>
      <c r="L43" s="20">
        <v>4</v>
      </c>
      <c r="M43" s="20">
        <v>3</v>
      </c>
      <c r="N43" s="20">
        <f t="shared" si="28"/>
        <v>-1</v>
      </c>
      <c r="O43" s="30">
        <f t="shared" si="29"/>
        <v>-0.33333333333333331</v>
      </c>
      <c r="P43" s="28"/>
    </row>
    <row r="44" spans="1:16" x14ac:dyDescent="0.2">
      <c r="A44" s="20" t="s">
        <v>34</v>
      </c>
      <c r="B44" s="20">
        <v>290</v>
      </c>
      <c r="C44" s="20">
        <v>311</v>
      </c>
      <c r="D44" s="20">
        <f t="shared" si="24"/>
        <v>21</v>
      </c>
      <c r="E44" s="21">
        <f t="shared" si="25"/>
        <v>6.7524115755627015E-2</v>
      </c>
      <c r="F44" s="22"/>
      <c r="G44" s="20">
        <v>230</v>
      </c>
      <c r="H44" s="23">
        <v>176</v>
      </c>
      <c r="I44" s="23">
        <f t="shared" si="26"/>
        <v>-54</v>
      </c>
      <c r="J44" s="21">
        <f t="shared" si="27"/>
        <v>-0.30681818181818182</v>
      </c>
      <c r="K44" s="22"/>
      <c r="L44" s="20">
        <v>213</v>
      </c>
      <c r="M44" s="20">
        <v>166</v>
      </c>
      <c r="N44" s="20">
        <f t="shared" si="28"/>
        <v>-47</v>
      </c>
      <c r="O44" s="27">
        <f t="shared" si="29"/>
        <v>-0.28313253012048195</v>
      </c>
    </row>
    <row r="45" spans="1:16" x14ac:dyDescent="0.2">
      <c r="A45" s="20" t="s">
        <v>106</v>
      </c>
      <c r="B45" s="20">
        <v>208</v>
      </c>
      <c r="C45" s="20">
        <v>225</v>
      </c>
      <c r="D45" s="20">
        <f t="shared" si="24"/>
        <v>17</v>
      </c>
      <c r="E45" s="21">
        <f t="shared" si="25"/>
        <v>7.5555555555555556E-2</v>
      </c>
      <c r="F45" s="22"/>
      <c r="G45" s="20">
        <v>66</v>
      </c>
      <c r="H45" s="23">
        <v>40</v>
      </c>
      <c r="I45" s="23">
        <f t="shared" si="26"/>
        <v>-26</v>
      </c>
      <c r="J45" s="21">
        <f t="shared" si="27"/>
        <v>-0.65</v>
      </c>
      <c r="K45" s="22"/>
      <c r="L45" s="20">
        <v>84</v>
      </c>
      <c r="M45" s="20">
        <v>73</v>
      </c>
      <c r="N45" s="20">
        <f t="shared" si="28"/>
        <v>-11</v>
      </c>
      <c r="O45" s="27">
        <f t="shared" si="29"/>
        <v>-0.15068493150684931</v>
      </c>
    </row>
    <row r="46" spans="1:16" x14ac:dyDescent="0.2">
      <c r="A46" s="44" t="s">
        <v>35</v>
      </c>
      <c r="B46" s="45">
        <f>SUM(B41:B45)</f>
        <v>633</v>
      </c>
      <c r="C46" s="45">
        <f>SUM(C41:C45)</f>
        <v>691</v>
      </c>
      <c r="D46" s="45">
        <f t="shared" si="24"/>
        <v>58</v>
      </c>
      <c r="E46" s="50">
        <f t="shared" si="25"/>
        <v>8.3936324167872653E-2</v>
      </c>
      <c r="F46" s="48"/>
      <c r="G46" s="44">
        <f>SUM(G41:G45)</f>
        <v>409</v>
      </c>
      <c r="H46" s="49">
        <f>SUM(H41:H45)</f>
        <v>242</v>
      </c>
      <c r="I46" s="49">
        <f t="shared" si="26"/>
        <v>-167</v>
      </c>
      <c r="J46" s="50">
        <f t="shared" si="27"/>
        <v>-0.69008264462809921</v>
      </c>
      <c r="K46" s="48"/>
      <c r="L46" s="44">
        <f>SUM(L41:L45)</f>
        <v>456</v>
      </c>
      <c r="M46" s="45">
        <f>SUM(M41:M45)</f>
        <v>340</v>
      </c>
      <c r="N46" s="45">
        <f t="shared" si="28"/>
        <v>-116</v>
      </c>
      <c r="O46" s="50">
        <f t="shared" si="29"/>
        <v>-0.3411764705882353</v>
      </c>
    </row>
    <row r="47" spans="1:16" x14ac:dyDescent="0.2">
      <c r="A47" s="6"/>
      <c r="E47" s="16" t="s">
        <v>103</v>
      </c>
      <c r="F47" s="9"/>
      <c r="G47" s="6"/>
      <c r="H47" s="11"/>
      <c r="I47" s="11"/>
      <c r="J47" s="15" t="s">
        <v>103</v>
      </c>
      <c r="K47" s="9"/>
      <c r="L47" s="6"/>
      <c r="O47" s="16" t="s">
        <v>103</v>
      </c>
    </row>
    <row r="48" spans="1:16" x14ac:dyDescent="0.2">
      <c r="A48" s="20" t="s">
        <v>36</v>
      </c>
      <c r="B48" s="20">
        <v>84</v>
      </c>
      <c r="C48" s="20">
        <v>103</v>
      </c>
      <c r="D48" s="20">
        <f t="shared" ref="D48:D52" si="30">C48-B48</f>
        <v>19</v>
      </c>
      <c r="E48" s="21">
        <f>D48/C48/100%</f>
        <v>0.18446601941747573</v>
      </c>
      <c r="F48" s="22"/>
      <c r="G48" s="20">
        <v>35</v>
      </c>
      <c r="H48" s="23">
        <v>21</v>
      </c>
      <c r="I48" s="23">
        <f t="shared" ref="I48:I52" si="31">H48-G48</f>
        <v>-14</v>
      </c>
      <c r="J48" s="21">
        <f>I48/H48/100%</f>
        <v>-0.66666666666666663</v>
      </c>
      <c r="K48" s="22"/>
      <c r="L48" s="20">
        <v>58</v>
      </c>
      <c r="M48" s="20">
        <v>32</v>
      </c>
      <c r="N48" s="20">
        <f t="shared" ref="N48:N52" si="32">M48-L48</f>
        <v>-26</v>
      </c>
      <c r="O48" s="30">
        <f t="shared" ref="O48:O52" si="33">N48/M48/100%</f>
        <v>-0.8125</v>
      </c>
      <c r="P48" s="28"/>
    </row>
    <row r="49" spans="1:16" x14ac:dyDescent="0.2">
      <c r="A49" s="20" t="s">
        <v>37</v>
      </c>
      <c r="B49" s="20">
        <v>155</v>
      </c>
      <c r="C49" s="20">
        <v>164</v>
      </c>
      <c r="D49" s="20">
        <f t="shared" si="30"/>
        <v>9</v>
      </c>
      <c r="E49" s="26">
        <f>D49/C49/100%</f>
        <v>5.4878048780487805E-2</v>
      </c>
      <c r="F49" s="22"/>
      <c r="G49" s="20">
        <v>21</v>
      </c>
      <c r="H49" s="23">
        <v>30</v>
      </c>
      <c r="I49" s="32">
        <f t="shared" si="31"/>
        <v>9</v>
      </c>
      <c r="J49" s="33">
        <f>I49/H49/100%</f>
        <v>0.3</v>
      </c>
      <c r="K49" s="22"/>
      <c r="L49" s="20">
        <v>35</v>
      </c>
      <c r="M49" s="20">
        <v>26</v>
      </c>
      <c r="N49" s="20">
        <f t="shared" si="32"/>
        <v>-9</v>
      </c>
      <c r="O49" s="29">
        <f t="shared" si="33"/>
        <v>-0.34615384615384615</v>
      </c>
    </row>
    <row r="50" spans="1:16" x14ac:dyDescent="0.2">
      <c r="A50" s="20" t="s">
        <v>38</v>
      </c>
      <c r="B50" s="20">
        <v>108</v>
      </c>
      <c r="C50" s="20">
        <v>104</v>
      </c>
      <c r="D50" s="24">
        <f t="shared" si="30"/>
        <v>-4</v>
      </c>
      <c r="E50" s="25">
        <f>D50/C50/100%</f>
        <v>-3.8461538461538464E-2</v>
      </c>
      <c r="F50" s="22"/>
      <c r="G50" s="20">
        <v>17</v>
      </c>
      <c r="H50" s="23">
        <v>26</v>
      </c>
      <c r="I50" s="32">
        <f t="shared" si="31"/>
        <v>9</v>
      </c>
      <c r="J50" s="33">
        <f>I50/H50/100%</f>
        <v>0.34615384615384615</v>
      </c>
      <c r="K50" s="22"/>
      <c r="L50" s="20">
        <v>25</v>
      </c>
      <c r="M50" s="20">
        <v>21</v>
      </c>
      <c r="N50" s="20">
        <f t="shared" si="32"/>
        <v>-4</v>
      </c>
      <c r="O50" s="29">
        <f t="shared" si="33"/>
        <v>-0.19047619047619047</v>
      </c>
    </row>
    <row r="51" spans="1:16" x14ac:dyDescent="0.2">
      <c r="A51" s="20" t="s">
        <v>39</v>
      </c>
      <c r="B51" s="20">
        <v>92</v>
      </c>
      <c r="C51" s="20">
        <v>83</v>
      </c>
      <c r="D51" s="24">
        <f t="shared" si="30"/>
        <v>-9</v>
      </c>
      <c r="E51" s="25">
        <f>D51/C51/100%</f>
        <v>-0.10843373493975904</v>
      </c>
      <c r="F51" s="22"/>
      <c r="G51" s="20">
        <v>6</v>
      </c>
      <c r="H51" s="23">
        <v>2</v>
      </c>
      <c r="I51" s="23">
        <f t="shared" si="31"/>
        <v>-4</v>
      </c>
      <c r="J51" s="21">
        <f>I51/H51/100%</f>
        <v>-2</v>
      </c>
      <c r="K51" s="22"/>
      <c r="L51" s="20">
        <v>24</v>
      </c>
      <c r="M51" s="20">
        <v>15</v>
      </c>
      <c r="N51" s="20">
        <f t="shared" si="32"/>
        <v>-9</v>
      </c>
      <c r="O51" s="29">
        <f t="shared" si="33"/>
        <v>-0.6</v>
      </c>
    </row>
    <row r="52" spans="1:16" x14ac:dyDescent="0.2">
      <c r="A52" s="44" t="s">
        <v>40</v>
      </c>
      <c r="B52" s="45">
        <f>SUM(B48:B51)</f>
        <v>439</v>
      </c>
      <c r="C52" s="45">
        <f>SUM(C48:C51)</f>
        <v>454</v>
      </c>
      <c r="D52" s="45">
        <f t="shared" si="30"/>
        <v>15</v>
      </c>
      <c r="E52" s="50">
        <f>D52/C52/100%</f>
        <v>3.3039647577092511E-2</v>
      </c>
      <c r="F52" s="48"/>
      <c r="G52" s="44">
        <f>SUM(G48:G51)</f>
        <v>79</v>
      </c>
      <c r="H52" s="49">
        <f>SUM(H48:H51)</f>
        <v>79</v>
      </c>
      <c r="I52" s="54">
        <f t="shared" si="31"/>
        <v>0</v>
      </c>
      <c r="J52" s="55">
        <f>I52/H52/100%</f>
        <v>0</v>
      </c>
      <c r="K52" s="48"/>
      <c r="L52" s="44">
        <f>SUM(L48:L51)</f>
        <v>142</v>
      </c>
      <c r="M52" s="45">
        <f>SUM(M48:M51)</f>
        <v>94</v>
      </c>
      <c r="N52" s="45">
        <f t="shared" si="32"/>
        <v>-48</v>
      </c>
      <c r="O52" s="50">
        <f t="shared" si="33"/>
        <v>-0.51063829787234039</v>
      </c>
    </row>
    <row r="53" spans="1:16" x14ac:dyDescent="0.2">
      <c r="A53" s="6"/>
      <c r="E53" s="16" t="s">
        <v>103</v>
      </c>
      <c r="F53" s="9"/>
      <c r="G53" s="6" t="s">
        <v>102</v>
      </c>
      <c r="H53" s="11" t="s">
        <v>102</v>
      </c>
      <c r="I53" s="11"/>
      <c r="J53" s="15" t="s">
        <v>103</v>
      </c>
      <c r="K53" s="9"/>
      <c r="L53" s="6" t="s">
        <v>102</v>
      </c>
      <c r="O53" s="16" t="s">
        <v>103</v>
      </c>
    </row>
    <row r="54" spans="1:16" x14ac:dyDescent="0.2">
      <c r="A54" s="20" t="s">
        <v>41</v>
      </c>
      <c r="B54" s="20">
        <v>22</v>
      </c>
      <c r="C54" s="20">
        <v>6</v>
      </c>
      <c r="D54" s="24">
        <f t="shared" ref="D54:D63" si="34">C54-B54</f>
        <v>-16</v>
      </c>
      <c r="E54" s="25">
        <f t="shared" ref="E54:E63" si="35">D54/C54/100%</f>
        <v>-2.6666666666666665</v>
      </c>
      <c r="F54" s="22"/>
      <c r="G54" s="20">
        <v>9</v>
      </c>
      <c r="H54" s="23">
        <v>1</v>
      </c>
      <c r="I54" s="23">
        <f t="shared" ref="I54:I63" si="36">H54-G54</f>
        <v>-8</v>
      </c>
      <c r="J54" s="21">
        <f t="shared" ref="J54:J63" si="37">I54/H54/100%</f>
        <v>-8</v>
      </c>
      <c r="K54" s="22"/>
      <c r="L54" s="20">
        <v>12</v>
      </c>
      <c r="M54" s="20">
        <v>13</v>
      </c>
      <c r="N54" s="23">
        <f t="shared" ref="N54:N63" si="38">M54-L54</f>
        <v>1</v>
      </c>
      <c r="O54" s="27">
        <f t="shared" ref="O54:O63" si="39">N54/M54/100%</f>
        <v>7.6923076923076927E-2</v>
      </c>
    </row>
    <row r="55" spans="1:16" x14ac:dyDescent="0.2">
      <c r="A55" s="20" t="s">
        <v>42</v>
      </c>
      <c r="B55" s="20">
        <v>4</v>
      </c>
      <c r="C55" s="20">
        <v>5</v>
      </c>
      <c r="D55" s="20">
        <f t="shared" si="34"/>
        <v>1</v>
      </c>
      <c r="E55" s="21">
        <f t="shared" si="35"/>
        <v>0.2</v>
      </c>
      <c r="F55" s="22"/>
      <c r="G55" s="20">
        <v>21</v>
      </c>
      <c r="H55" s="23">
        <v>30</v>
      </c>
      <c r="I55" s="32">
        <f t="shared" si="36"/>
        <v>9</v>
      </c>
      <c r="J55" s="33">
        <f t="shared" si="37"/>
        <v>0.3</v>
      </c>
      <c r="K55" s="22"/>
      <c r="L55" s="20">
        <v>20</v>
      </c>
      <c r="M55" s="20">
        <v>11</v>
      </c>
      <c r="N55" s="20">
        <f t="shared" si="38"/>
        <v>-9</v>
      </c>
      <c r="O55" s="30">
        <f t="shared" si="39"/>
        <v>-0.81818181818181823</v>
      </c>
      <c r="P55" s="28"/>
    </row>
    <row r="56" spans="1:16" x14ac:dyDescent="0.2">
      <c r="A56" s="35" t="s">
        <v>107</v>
      </c>
      <c r="B56" s="20">
        <v>79</v>
      </c>
      <c r="C56" s="20">
        <v>78</v>
      </c>
      <c r="D56" s="24">
        <f t="shared" si="34"/>
        <v>-1</v>
      </c>
      <c r="E56" s="25">
        <f t="shared" si="35"/>
        <v>-1.282051282051282E-2</v>
      </c>
      <c r="F56" s="22"/>
      <c r="G56" s="20">
        <v>187</v>
      </c>
      <c r="H56" s="23">
        <v>69</v>
      </c>
      <c r="I56" s="23">
        <f t="shared" si="36"/>
        <v>-118</v>
      </c>
      <c r="J56" s="21">
        <f t="shared" si="37"/>
        <v>-1.7101449275362319</v>
      </c>
      <c r="K56" s="22"/>
      <c r="L56" s="20">
        <v>34</v>
      </c>
      <c r="M56" s="20">
        <v>41</v>
      </c>
      <c r="N56" s="23">
        <f t="shared" si="38"/>
        <v>7</v>
      </c>
      <c r="O56" s="30">
        <f t="shared" si="39"/>
        <v>0.17073170731707318</v>
      </c>
      <c r="P56" s="28"/>
    </row>
    <row r="57" spans="1:16" x14ac:dyDescent="0.2">
      <c r="A57" s="20" t="s">
        <v>43</v>
      </c>
      <c r="B57" s="20">
        <v>22</v>
      </c>
      <c r="C57" s="20">
        <v>14</v>
      </c>
      <c r="D57" s="20">
        <f t="shared" si="34"/>
        <v>-8</v>
      </c>
      <c r="E57" s="25">
        <f t="shared" si="35"/>
        <v>-0.5714285714285714</v>
      </c>
      <c r="F57" s="22"/>
      <c r="G57" s="20">
        <v>15</v>
      </c>
      <c r="H57" s="23">
        <v>18</v>
      </c>
      <c r="I57" s="32">
        <f t="shared" si="36"/>
        <v>3</v>
      </c>
      <c r="J57" s="33">
        <f t="shared" si="37"/>
        <v>0.16666666666666666</v>
      </c>
      <c r="K57" s="22"/>
      <c r="L57" s="20">
        <v>18</v>
      </c>
      <c r="M57" s="20">
        <v>17</v>
      </c>
      <c r="N57" s="20">
        <f t="shared" si="38"/>
        <v>-1</v>
      </c>
      <c r="O57" s="27">
        <f t="shared" si="39"/>
        <v>-5.8823529411764705E-2</v>
      </c>
    </row>
    <row r="58" spans="1:16" x14ac:dyDescent="0.2">
      <c r="A58" s="20" t="s">
        <v>44</v>
      </c>
      <c r="B58" s="20">
        <v>11</v>
      </c>
      <c r="C58" s="20">
        <v>10</v>
      </c>
      <c r="D58" s="24">
        <f t="shared" si="34"/>
        <v>-1</v>
      </c>
      <c r="E58" s="25">
        <f t="shared" si="35"/>
        <v>-0.1</v>
      </c>
      <c r="F58" s="22"/>
      <c r="G58" s="20">
        <v>15</v>
      </c>
      <c r="H58" s="23">
        <v>14</v>
      </c>
      <c r="I58" s="23">
        <f t="shared" si="36"/>
        <v>-1</v>
      </c>
      <c r="J58" s="21">
        <f t="shared" si="37"/>
        <v>-7.1428571428571425E-2</v>
      </c>
      <c r="K58" s="22"/>
      <c r="L58" s="20">
        <v>7</v>
      </c>
      <c r="M58" s="20">
        <v>7</v>
      </c>
      <c r="N58" s="20">
        <f t="shared" si="38"/>
        <v>0</v>
      </c>
      <c r="O58" s="27">
        <f t="shared" si="39"/>
        <v>0</v>
      </c>
    </row>
    <row r="59" spans="1:16" x14ac:dyDescent="0.2">
      <c r="A59" s="35" t="s">
        <v>108</v>
      </c>
      <c r="B59" s="20">
        <v>14</v>
      </c>
      <c r="C59" s="20">
        <v>25</v>
      </c>
      <c r="D59" s="20">
        <f t="shared" si="34"/>
        <v>11</v>
      </c>
      <c r="E59" s="21">
        <f t="shared" si="35"/>
        <v>0.44</v>
      </c>
      <c r="F59" s="22"/>
      <c r="G59" s="20">
        <v>24</v>
      </c>
      <c r="H59" s="23">
        <v>17</v>
      </c>
      <c r="I59" s="23">
        <f t="shared" si="36"/>
        <v>-7</v>
      </c>
      <c r="J59" s="21">
        <f t="shared" si="37"/>
        <v>-0.41176470588235292</v>
      </c>
      <c r="K59" s="22"/>
      <c r="L59" s="20">
        <v>56</v>
      </c>
      <c r="M59" s="20">
        <v>22</v>
      </c>
      <c r="N59" s="20">
        <f t="shared" si="38"/>
        <v>-34</v>
      </c>
      <c r="O59" s="27">
        <f t="shared" si="39"/>
        <v>-1.5454545454545454</v>
      </c>
    </row>
    <row r="60" spans="1:16" x14ac:dyDescent="0.2">
      <c r="A60" s="20" t="s">
        <v>45</v>
      </c>
      <c r="B60" s="20">
        <v>19</v>
      </c>
      <c r="C60" s="20">
        <v>13</v>
      </c>
      <c r="D60" s="24">
        <f t="shared" si="34"/>
        <v>-6</v>
      </c>
      <c r="E60" s="25">
        <f t="shared" si="35"/>
        <v>-0.46153846153846156</v>
      </c>
      <c r="F60" s="22"/>
      <c r="G60" s="20">
        <v>6</v>
      </c>
      <c r="H60" s="23">
        <v>1</v>
      </c>
      <c r="I60" s="23">
        <f t="shared" si="36"/>
        <v>-5</v>
      </c>
      <c r="J60" s="21">
        <f t="shared" si="37"/>
        <v>-5</v>
      </c>
      <c r="K60" s="22"/>
      <c r="L60" s="20">
        <v>4</v>
      </c>
      <c r="M60" s="20">
        <v>6</v>
      </c>
      <c r="N60" s="23">
        <f t="shared" si="38"/>
        <v>2</v>
      </c>
      <c r="O60" s="30">
        <f t="shared" si="39"/>
        <v>0.33333333333333331</v>
      </c>
      <c r="P60" s="28"/>
    </row>
    <row r="61" spans="1:16" x14ac:dyDescent="0.2">
      <c r="A61" s="20" t="s">
        <v>46</v>
      </c>
      <c r="B61" s="20">
        <v>0</v>
      </c>
      <c r="C61" s="20">
        <v>0</v>
      </c>
      <c r="D61" s="20">
        <f t="shared" si="34"/>
        <v>0</v>
      </c>
      <c r="E61" s="26" t="e">
        <f t="shared" si="35"/>
        <v>#DIV/0!</v>
      </c>
      <c r="F61" s="22"/>
      <c r="G61" s="20">
        <v>0</v>
      </c>
      <c r="H61" s="23">
        <v>0</v>
      </c>
      <c r="I61" s="23">
        <f t="shared" si="36"/>
        <v>0</v>
      </c>
      <c r="J61" s="21" t="e">
        <f t="shared" si="37"/>
        <v>#DIV/0!</v>
      </c>
      <c r="K61" s="22"/>
      <c r="L61" s="20">
        <v>1</v>
      </c>
      <c r="M61" s="20">
        <v>0</v>
      </c>
      <c r="N61" s="20">
        <f t="shared" si="38"/>
        <v>-1</v>
      </c>
      <c r="O61" s="30" t="e">
        <f t="shared" si="39"/>
        <v>#DIV/0!</v>
      </c>
      <c r="P61" s="28"/>
    </row>
    <row r="62" spans="1:16" x14ac:dyDescent="0.2">
      <c r="A62" s="20" t="s">
        <v>47</v>
      </c>
      <c r="B62" s="20">
        <v>2</v>
      </c>
      <c r="C62" s="20">
        <v>4</v>
      </c>
      <c r="D62" s="20">
        <f t="shared" si="34"/>
        <v>2</v>
      </c>
      <c r="E62" s="21">
        <f t="shared" si="35"/>
        <v>0.5</v>
      </c>
      <c r="F62" s="22"/>
      <c r="G62" s="20">
        <v>53</v>
      </c>
      <c r="H62" s="23">
        <v>9</v>
      </c>
      <c r="I62" s="23">
        <f t="shared" si="36"/>
        <v>-44</v>
      </c>
      <c r="J62" s="21">
        <f t="shared" si="37"/>
        <v>-4.8888888888888893</v>
      </c>
      <c r="K62" s="22"/>
      <c r="L62" s="20">
        <v>10</v>
      </c>
      <c r="M62" s="20">
        <v>8</v>
      </c>
      <c r="N62" s="20">
        <f t="shared" si="38"/>
        <v>-2</v>
      </c>
      <c r="O62" s="27">
        <f t="shared" si="39"/>
        <v>-0.25</v>
      </c>
    </row>
    <row r="63" spans="1:16" x14ac:dyDescent="0.2">
      <c r="A63" s="44" t="s">
        <v>48</v>
      </c>
      <c r="B63" s="45">
        <f>SUM(B54:B62)</f>
        <v>173</v>
      </c>
      <c r="C63" s="45">
        <f>SUM(C54:C62)</f>
        <v>155</v>
      </c>
      <c r="D63" s="46">
        <f t="shared" si="34"/>
        <v>-18</v>
      </c>
      <c r="E63" s="47">
        <f t="shared" si="35"/>
        <v>-0.11612903225806452</v>
      </c>
      <c r="F63" s="48"/>
      <c r="G63" s="44">
        <f>SUM(G54:G62)</f>
        <v>330</v>
      </c>
      <c r="H63" s="49">
        <f>SUM(H54:H62)</f>
        <v>159</v>
      </c>
      <c r="I63" s="49">
        <f t="shared" si="36"/>
        <v>-171</v>
      </c>
      <c r="J63" s="50">
        <f t="shared" si="37"/>
        <v>-1.0754716981132075</v>
      </c>
      <c r="K63" s="48"/>
      <c r="L63" s="44">
        <f>SUM(L54:L62)</f>
        <v>162</v>
      </c>
      <c r="M63" s="45">
        <f>SUM(M54:M62)</f>
        <v>125</v>
      </c>
      <c r="N63" s="45">
        <f t="shared" si="38"/>
        <v>-37</v>
      </c>
      <c r="O63" s="50">
        <f t="shared" si="39"/>
        <v>-0.29599999999999999</v>
      </c>
    </row>
    <row r="64" spans="1:16" x14ac:dyDescent="0.2">
      <c r="A64" s="6"/>
      <c r="E64" s="16" t="s">
        <v>103</v>
      </c>
      <c r="F64" s="9"/>
      <c r="G64" s="6"/>
      <c r="H64" s="11"/>
      <c r="I64" s="11"/>
      <c r="J64" s="15" t="s">
        <v>103</v>
      </c>
      <c r="K64" s="9"/>
      <c r="L64" s="6"/>
      <c r="O64" s="16" t="s">
        <v>103</v>
      </c>
    </row>
    <row r="65" spans="1:16" x14ac:dyDescent="0.2">
      <c r="A65" s="20" t="s">
        <v>49</v>
      </c>
      <c r="B65" s="20">
        <v>255</v>
      </c>
      <c r="C65" s="20">
        <v>281</v>
      </c>
      <c r="D65" s="20">
        <f t="shared" ref="D65:D70" si="40">C65-B65</f>
        <v>26</v>
      </c>
      <c r="E65" s="21">
        <f t="shared" ref="E65:E70" si="41">D65/C65/100%</f>
        <v>9.2526690391459068E-2</v>
      </c>
      <c r="F65" s="22"/>
      <c r="G65" s="23">
        <v>134</v>
      </c>
      <c r="H65" s="23">
        <v>51</v>
      </c>
      <c r="I65" s="23">
        <f t="shared" ref="I65:I70" si="42">H65-G65</f>
        <v>-83</v>
      </c>
      <c r="J65" s="21">
        <f t="shared" ref="J65:J70" si="43">I65/H65/100%</f>
        <v>-1.6274509803921569</v>
      </c>
      <c r="K65" s="22"/>
      <c r="L65" s="20">
        <v>115</v>
      </c>
      <c r="M65" s="20">
        <v>95</v>
      </c>
      <c r="N65" s="20">
        <f t="shared" ref="N65:N70" si="44">M65-L65</f>
        <v>-20</v>
      </c>
      <c r="O65" s="27">
        <f t="shared" ref="O65:O70" si="45">N65/M65/100%</f>
        <v>-0.21052631578947367</v>
      </c>
    </row>
    <row r="66" spans="1:16" x14ac:dyDescent="0.2">
      <c r="A66" s="20" t="s">
        <v>50</v>
      </c>
      <c r="B66" s="20">
        <v>117</v>
      </c>
      <c r="C66" s="20">
        <v>131</v>
      </c>
      <c r="D66" s="20">
        <f t="shared" si="40"/>
        <v>14</v>
      </c>
      <c r="E66" s="26">
        <f t="shared" si="41"/>
        <v>0.10687022900763359</v>
      </c>
      <c r="F66" s="22"/>
      <c r="G66" s="20">
        <v>99</v>
      </c>
      <c r="H66" s="23">
        <v>63</v>
      </c>
      <c r="I66" s="23">
        <f t="shared" si="42"/>
        <v>-36</v>
      </c>
      <c r="J66" s="21">
        <f t="shared" si="43"/>
        <v>-0.5714285714285714</v>
      </c>
      <c r="K66" s="22"/>
      <c r="L66" s="20">
        <v>51</v>
      </c>
      <c r="M66" s="20">
        <v>42</v>
      </c>
      <c r="N66" s="20">
        <f t="shared" si="44"/>
        <v>-9</v>
      </c>
      <c r="O66" s="29">
        <f t="shared" si="45"/>
        <v>-0.21428571428571427</v>
      </c>
    </row>
    <row r="67" spans="1:16" x14ac:dyDescent="0.2">
      <c r="A67" s="20" t="s">
        <v>51</v>
      </c>
      <c r="B67" s="20">
        <v>69</v>
      </c>
      <c r="C67" s="20">
        <v>45</v>
      </c>
      <c r="D67" s="24">
        <f t="shared" si="40"/>
        <v>-24</v>
      </c>
      <c r="E67" s="25">
        <f t="shared" si="41"/>
        <v>-0.53333333333333333</v>
      </c>
      <c r="F67" s="22"/>
      <c r="G67" s="20">
        <v>48</v>
      </c>
      <c r="H67" s="23">
        <v>33</v>
      </c>
      <c r="I67" s="23">
        <f t="shared" si="42"/>
        <v>-15</v>
      </c>
      <c r="J67" s="21">
        <f t="shared" si="43"/>
        <v>-0.45454545454545453</v>
      </c>
      <c r="K67" s="22"/>
      <c r="L67" s="20">
        <v>37</v>
      </c>
      <c r="M67" s="20">
        <v>16</v>
      </c>
      <c r="N67" s="20">
        <f t="shared" si="44"/>
        <v>-21</v>
      </c>
      <c r="O67" s="27">
        <f t="shared" si="45"/>
        <v>-1.3125</v>
      </c>
    </row>
    <row r="68" spans="1:16" x14ac:dyDescent="0.2">
      <c r="A68" s="20" t="s">
        <v>52</v>
      </c>
      <c r="B68" s="20">
        <v>106</v>
      </c>
      <c r="C68" s="20">
        <v>110</v>
      </c>
      <c r="D68" s="20">
        <f t="shared" si="40"/>
        <v>4</v>
      </c>
      <c r="E68" s="26">
        <f t="shared" si="41"/>
        <v>3.6363636363636362E-2</v>
      </c>
      <c r="F68" s="22"/>
      <c r="G68" s="20">
        <v>40</v>
      </c>
      <c r="H68" s="23">
        <v>16</v>
      </c>
      <c r="I68" s="23">
        <f t="shared" si="42"/>
        <v>-24</v>
      </c>
      <c r="J68" s="21">
        <f t="shared" si="43"/>
        <v>-1.5</v>
      </c>
      <c r="K68" s="22"/>
      <c r="L68" s="20">
        <v>28</v>
      </c>
      <c r="M68" s="20">
        <v>27</v>
      </c>
      <c r="N68" s="20">
        <f t="shared" si="44"/>
        <v>-1</v>
      </c>
      <c r="O68" s="29">
        <f t="shared" si="45"/>
        <v>-3.7037037037037035E-2</v>
      </c>
    </row>
    <row r="69" spans="1:16" x14ac:dyDescent="0.2">
      <c r="A69" s="20" t="s">
        <v>53</v>
      </c>
      <c r="B69" s="20">
        <v>283</v>
      </c>
      <c r="C69" s="20">
        <v>298</v>
      </c>
      <c r="D69" s="20">
        <f t="shared" si="40"/>
        <v>15</v>
      </c>
      <c r="E69" s="21">
        <f t="shared" si="41"/>
        <v>5.0335570469798654E-2</v>
      </c>
      <c r="F69" s="22"/>
      <c r="G69" s="20">
        <v>72</v>
      </c>
      <c r="H69" s="23">
        <v>60</v>
      </c>
      <c r="I69" s="23">
        <f t="shared" si="42"/>
        <v>-12</v>
      </c>
      <c r="J69" s="21">
        <f t="shared" si="43"/>
        <v>-0.2</v>
      </c>
      <c r="K69" s="22"/>
      <c r="L69" s="20">
        <v>140</v>
      </c>
      <c r="M69" s="20">
        <v>95</v>
      </c>
      <c r="N69" s="20">
        <f t="shared" si="44"/>
        <v>-45</v>
      </c>
      <c r="O69" s="30">
        <f t="shared" si="45"/>
        <v>-0.47368421052631576</v>
      </c>
      <c r="P69" s="28"/>
    </row>
    <row r="70" spans="1:16" x14ac:dyDescent="0.2">
      <c r="A70" s="44" t="s">
        <v>54</v>
      </c>
      <c r="B70" s="45">
        <f>SUM(B65:B69)</f>
        <v>830</v>
      </c>
      <c r="C70" s="45">
        <f>SUM(C65:C69)</f>
        <v>865</v>
      </c>
      <c r="D70" s="45">
        <f t="shared" si="40"/>
        <v>35</v>
      </c>
      <c r="E70" s="51">
        <f t="shared" si="41"/>
        <v>4.046242774566474E-2</v>
      </c>
      <c r="F70" s="48"/>
      <c r="G70" s="44">
        <f>SUM(G65:G69)</f>
        <v>393</v>
      </c>
      <c r="H70" s="49">
        <f>SUM(H65:H69)</f>
        <v>223</v>
      </c>
      <c r="I70" s="49">
        <f t="shared" si="42"/>
        <v>-170</v>
      </c>
      <c r="J70" s="50">
        <f t="shared" si="43"/>
        <v>-0.7623318385650224</v>
      </c>
      <c r="K70" s="48"/>
      <c r="L70" s="44">
        <f>SUM(L65:L69)</f>
        <v>371</v>
      </c>
      <c r="M70" s="45">
        <f>SUM(M65:M69)</f>
        <v>275</v>
      </c>
      <c r="N70" s="45">
        <f t="shared" si="44"/>
        <v>-96</v>
      </c>
      <c r="O70" s="51">
        <f t="shared" si="45"/>
        <v>-0.34909090909090912</v>
      </c>
    </row>
    <row r="71" spans="1:16" x14ac:dyDescent="0.2">
      <c r="A71" s="6"/>
      <c r="E71" s="16" t="s">
        <v>103</v>
      </c>
      <c r="F71" s="9"/>
      <c r="G71" s="6"/>
      <c r="H71" s="11"/>
      <c r="I71" s="11"/>
      <c r="J71" s="15" t="s">
        <v>103</v>
      </c>
      <c r="K71" s="9"/>
      <c r="L71" s="7"/>
      <c r="O71" s="16" t="s">
        <v>103</v>
      </c>
    </row>
    <row r="72" spans="1:16" x14ac:dyDescent="0.2">
      <c r="A72" s="44" t="s">
        <v>55</v>
      </c>
      <c r="B72" s="45">
        <v>27</v>
      </c>
      <c r="C72" s="45">
        <v>21</v>
      </c>
      <c r="D72" s="46">
        <f>C72-B72</f>
        <v>-6</v>
      </c>
      <c r="E72" s="47">
        <f>D72/C72/100%</f>
        <v>-0.2857142857142857</v>
      </c>
      <c r="F72" s="52"/>
      <c r="G72" s="44">
        <v>20</v>
      </c>
      <c r="H72" s="49">
        <v>5</v>
      </c>
      <c r="I72" s="49">
        <f>H72-G72</f>
        <v>-15</v>
      </c>
      <c r="J72" s="50">
        <f>I72/H72/100%</f>
        <v>-3</v>
      </c>
      <c r="K72" s="52"/>
      <c r="L72" s="44">
        <v>176</v>
      </c>
      <c r="M72" s="45">
        <v>50</v>
      </c>
      <c r="N72" s="45">
        <f>M72-L72</f>
        <v>-126</v>
      </c>
      <c r="O72" s="50">
        <f>N72/M72/100%</f>
        <v>-2.52</v>
      </c>
    </row>
    <row r="73" spans="1:16" x14ac:dyDescent="0.2">
      <c r="A73" s="6"/>
      <c r="E73" s="16" t="s">
        <v>103</v>
      </c>
      <c r="F73" s="9"/>
      <c r="G73" s="6"/>
      <c r="H73" s="11"/>
      <c r="I73" s="11"/>
      <c r="J73" s="15" t="s">
        <v>103</v>
      </c>
      <c r="K73" s="9"/>
      <c r="L73" s="6"/>
      <c r="O73" s="16" t="s">
        <v>103</v>
      </c>
    </row>
    <row r="74" spans="1:16" x14ac:dyDescent="0.2">
      <c r="A74" s="20" t="s">
        <v>56</v>
      </c>
      <c r="B74" s="20">
        <v>82</v>
      </c>
      <c r="C74" s="20">
        <v>83</v>
      </c>
      <c r="D74" s="20">
        <f t="shared" ref="D74:D80" si="46">C74-B74</f>
        <v>1</v>
      </c>
      <c r="E74" s="26">
        <f t="shared" ref="E74:E80" si="47">D74/C74/100%</f>
        <v>1.2048192771084338E-2</v>
      </c>
      <c r="F74" s="22"/>
      <c r="G74" s="20">
        <v>1</v>
      </c>
      <c r="H74" s="23">
        <v>4</v>
      </c>
      <c r="I74" s="32">
        <f t="shared" ref="I74:I80" si="48">H74-G74</f>
        <v>3</v>
      </c>
      <c r="J74" s="33">
        <f t="shared" ref="J74:J80" si="49">I74/H74/100%</f>
        <v>0.75</v>
      </c>
      <c r="K74" s="22"/>
      <c r="L74" s="20">
        <v>29</v>
      </c>
      <c r="M74" s="20">
        <v>20</v>
      </c>
      <c r="N74" s="20">
        <f t="shared" ref="N74:N130" si="50">M74-L74</f>
        <v>-9</v>
      </c>
      <c r="O74" s="29">
        <f t="shared" ref="O74:O80" si="51">N74/M74/100%</f>
        <v>-0.45</v>
      </c>
    </row>
    <row r="75" spans="1:16" x14ac:dyDescent="0.2">
      <c r="A75" s="20" t="s">
        <v>57</v>
      </c>
      <c r="B75" s="20">
        <v>78</v>
      </c>
      <c r="C75" s="20">
        <v>58</v>
      </c>
      <c r="D75" s="24">
        <f t="shared" si="46"/>
        <v>-20</v>
      </c>
      <c r="E75" s="25">
        <f t="shared" si="47"/>
        <v>-0.34482758620689657</v>
      </c>
      <c r="F75" s="22"/>
      <c r="G75" s="20">
        <v>83</v>
      </c>
      <c r="H75" s="23">
        <v>36</v>
      </c>
      <c r="I75" s="23">
        <f t="shared" si="48"/>
        <v>-47</v>
      </c>
      <c r="J75" s="21">
        <f t="shared" si="49"/>
        <v>-1.3055555555555556</v>
      </c>
      <c r="K75" s="22"/>
      <c r="L75" s="20">
        <v>45</v>
      </c>
      <c r="M75" s="20">
        <v>39</v>
      </c>
      <c r="N75" s="20">
        <f t="shared" si="50"/>
        <v>-6</v>
      </c>
      <c r="O75" s="30">
        <f t="shared" si="51"/>
        <v>-0.15384615384615385</v>
      </c>
      <c r="P75" s="28"/>
    </row>
    <row r="76" spans="1:16" x14ac:dyDescent="0.2">
      <c r="A76" s="20" t="s">
        <v>58</v>
      </c>
      <c r="B76" s="20">
        <v>37</v>
      </c>
      <c r="C76" s="20">
        <v>35</v>
      </c>
      <c r="D76" s="24">
        <f t="shared" si="46"/>
        <v>-2</v>
      </c>
      <c r="E76" s="25">
        <f t="shared" si="47"/>
        <v>-5.7142857142857141E-2</v>
      </c>
      <c r="F76" s="22"/>
      <c r="G76" s="20">
        <v>7</v>
      </c>
      <c r="H76" s="23">
        <v>1</v>
      </c>
      <c r="I76" s="23">
        <f t="shared" si="48"/>
        <v>-6</v>
      </c>
      <c r="J76" s="21">
        <f t="shared" si="49"/>
        <v>-6</v>
      </c>
      <c r="K76" s="22"/>
      <c r="L76" s="20">
        <v>20</v>
      </c>
      <c r="M76" s="20">
        <v>11</v>
      </c>
      <c r="N76" s="20">
        <f t="shared" si="50"/>
        <v>-9</v>
      </c>
      <c r="O76" s="30">
        <f t="shared" si="51"/>
        <v>-0.81818181818181823</v>
      </c>
      <c r="P76" s="28"/>
    </row>
    <row r="77" spans="1:16" x14ac:dyDescent="0.2">
      <c r="A77" s="20" t="s">
        <v>59</v>
      </c>
      <c r="B77" s="20">
        <v>103</v>
      </c>
      <c r="C77" s="20">
        <v>84</v>
      </c>
      <c r="D77" s="24">
        <f t="shared" si="46"/>
        <v>-19</v>
      </c>
      <c r="E77" s="25">
        <f t="shared" si="47"/>
        <v>-0.22619047619047619</v>
      </c>
      <c r="F77" s="22"/>
      <c r="G77" s="20">
        <v>5</v>
      </c>
      <c r="H77" s="23">
        <v>0</v>
      </c>
      <c r="I77" s="23">
        <f t="shared" si="48"/>
        <v>-5</v>
      </c>
      <c r="J77" s="21" t="e">
        <f t="shared" si="49"/>
        <v>#DIV/0!</v>
      </c>
      <c r="K77" s="22"/>
      <c r="L77" s="20">
        <v>21</v>
      </c>
      <c r="M77" s="20">
        <v>16</v>
      </c>
      <c r="N77" s="20">
        <f t="shared" si="50"/>
        <v>-5</v>
      </c>
      <c r="O77" s="29">
        <f t="shared" si="51"/>
        <v>-0.3125</v>
      </c>
    </row>
    <row r="78" spans="1:16" x14ac:dyDescent="0.2">
      <c r="A78" s="20" t="s">
        <v>109</v>
      </c>
      <c r="B78" s="20">
        <v>132</v>
      </c>
      <c r="C78" s="20">
        <v>136</v>
      </c>
      <c r="D78" s="20">
        <f t="shared" si="46"/>
        <v>4</v>
      </c>
      <c r="E78" s="26">
        <f t="shared" si="47"/>
        <v>2.9411764705882353E-2</v>
      </c>
      <c r="F78" s="22"/>
      <c r="G78" s="20">
        <v>55</v>
      </c>
      <c r="H78" s="23">
        <v>35</v>
      </c>
      <c r="I78" s="23">
        <f t="shared" si="48"/>
        <v>-20</v>
      </c>
      <c r="J78" s="21">
        <f t="shared" si="49"/>
        <v>-0.5714285714285714</v>
      </c>
      <c r="K78" s="22"/>
      <c r="L78" s="20">
        <v>45</v>
      </c>
      <c r="M78" s="20">
        <v>38</v>
      </c>
      <c r="N78" s="20">
        <f t="shared" si="50"/>
        <v>-7</v>
      </c>
      <c r="O78" s="36">
        <f t="shared" si="51"/>
        <v>-0.18421052631578946</v>
      </c>
      <c r="P78" s="28"/>
    </row>
    <row r="79" spans="1:16" x14ac:dyDescent="0.2">
      <c r="A79" s="20" t="s">
        <v>60</v>
      </c>
      <c r="B79" s="20">
        <v>166</v>
      </c>
      <c r="C79" s="20">
        <v>176</v>
      </c>
      <c r="D79" s="20">
        <f t="shared" si="46"/>
        <v>10</v>
      </c>
      <c r="E79" s="21">
        <f t="shared" si="47"/>
        <v>5.6818181818181816E-2</v>
      </c>
      <c r="F79" s="22"/>
      <c r="G79" s="20">
        <v>46</v>
      </c>
      <c r="H79" s="23">
        <v>19</v>
      </c>
      <c r="I79" s="23">
        <f t="shared" si="48"/>
        <v>-27</v>
      </c>
      <c r="J79" s="21">
        <f t="shared" si="49"/>
        <v>-1.4210526315789473</v>
      </c>
      <c r="K79" s="22"/>
      <c r="L79" s="20">
        <v>110</v>
      </c>
      <c r="M79" s="20">
        <v>63</v>
      </c>
      <c r="N79" s="20">
        <f t="shared" si="50"/>
        <v>-47</v>
      </c>
      <c r="O79" s="27">
        <f t="shared" si="51"/>
        <v>-0.74603174603174605</v>
      </c>
    </row>
    <row r="80" spans="1:16" x14ac:dyDescent="0.2">
      <c r="A80" s="44" t="s">
        <v>61</v>
      </c>
      <c r="B80" s="45">
        <f>SUM(B74:B79)</f>
        <v>598</v>
      </c>
      <c r="C80" s="45">
        <f>SUM(C74:C79)</f>
        <v>572</v>
      </c>
      <c r="D80" s="46">
        <f t="shared" si="46"/>
        <v>-26</v>
      </c>
      <c r="E80" s="47">
        <f t="shared" si="47"/>
        <v>-4.5454545454545456E-2</v>
      </c>
      <c r="F80" s="48"/>
      <c r="G80" s="44">
        <f>SUM(G74:G79)</f>
        <v>197</v>
      </c>
      <c r="H80" s="49">
        <f>SUM(H74:H79)</f>
        <v>95</v>
      </c>
      <c r="I80" s="49">
        <f t="shared" si="48"/>
        <v>-102</v>
      </c>
      <c r="J80" s="50">
        <f t="shared" si="49"/>
        <v>-1.0736842105263158</v>
      </c>
      <c r="K80" s="48"/>
      <c r="L80" s="44">
        <f>SUM(L74:L79)</f>
        <v>270</v>
      </c>
      <c r="M80" s="45">
        <f>SUM(M74:M79)</f>
        <v>187</v>
      </c>
      <c r="N80" s="45">
        <f t="shared" si="50"/>
        <v>-83</v>
      </c>
      <c r="O80" s="51">
        <f t="shared" si="51"/>
        <v>-0.44385026737967914</v>
      </c>
    </row>
    <row r="81" spans="1:16" x14ac:dyDescent="0.2">
      <c r="A81" s="6"/>
      <c r="E81" s="16" t="s">
        <v>103</v>
      </c>
      <c r="F81" s="9"/>
      <c r="G81" s="6"/>
      <c r="H81" s="11"/>
      <c r="I81" s="11"/>
      <c r="J81" s="15" t="s">
        <v>103</v>
      </c>
      <c r="K81" s="9"/>
      <c r="L81" s="6"/>
      <c r="O81" s="16" t="s">
        <v>103</v>
      </c>
    </row>
    <row r="82" spans="1:16" x14ac:dyDescent="0.2">
      <c r="A82" s="20" t="s">
        <v>62</v>
      </c>
      <c r="B82" s="20">
        <v>144</v>
      </c>
      <c r="C82" s="20">
        <v>124</v>
      </c>
      <c r="D82" s="24">
        <f t="shared" ref="D82:D88" si="52">C82-B82</f>
        <v>-20</v>
      </c>
      <c r="E82" s="25">
        <f t="shared" ref="E82:E88" si="53">D82/C82/100%</f>
        <v>-0.16129032258064516</v>
      </c>
      <c r="F82" s="22"/>
      <c r="G82" s="20">
        <v>75</v>
      </c>
      <c r="H82" s="23">
        <v>9</v>
      </c>
      <c r="I82" s="23">
        <f t="shared" ref="I82:I88" si="54">H82-G82</f>
        <v>-66</v>
      </c>
      <c r="J82" s="21">
        <f t="shared" ref="J82:J88" si="55">I82/H82/100%</f>
        <v>-7.333333333333333</v>
      </c>
      <c r="K82" s="22"/>
      <c r="L82" s="20">
        <v>149</v>
      </c>
      <c r="M82" s="20">
        <v>146</v>
      </c>
      <c r="N82" s="20">
        <f t="shared" si="50"/>
        <v>-3</v>
      </c>
      <c r="O82" s="27">
        <f t="shared" ref="O82:O88" si="56">N82/M82/100%</f>
        <v>-2.0547945205479451E-2</v>
      </c>
    </row>
    <row r="83" spans="1:16" x14ac:dyDescent="0.2">
      <c r="A83" s="20" t="s">
        <v>63</v>
      </c>
      <c r="B83" s="20">
        <v>5</v>
      </c>
      <c r="C83" s="20">
        <v>9</v>
      </c>
      <c r="D83" s="20">
        <f t="shared" si="52"/>
        <v>4</v>
      </c>
      <c r="E83" s="21">
        <f t="shared" si="53"/>
        <v>0.44444444444444442</v>
      </c>
      <c r="F83" s="22"/>
      <c r="G83" s="20">
        <v>0</v>
      </c>
      <c r="H83" s="23">
        <v>1</v>
      </c>
      <c r="I83" s="32">
        <f t="shared" si="54"/>
        <v>1</v>
      </c>
      <c r="J83" s="33">
        <f t="shared" si="55"/>
        <v>1</v>
      </c>
      <c r="K83" s="22"/>
      <c r="L83" s="20">
        <v>8</v>
      </c>
      <c r="M83" s="20">
        <v>5</v>
      </c>
      <c r="N83" s="20">
        <f t="shared" si="50"/>
        <v>-3</v>
      </c>
      <c r="O83" s="27">
        <f t="shared" si="56"/>
        <v>-0.6</v>
      </c>
    </row>
    <row r="84" spans="1:16" x14ac:dyDescent="0.2">
      <c r="A84" s="20" t="s">
        <v>64</v>
      </c>
      <c r="B84" s="20">
        <v>86</v>
      </c>
      <c r="C84" s="20">
        <v>95</v>
      </c>
      <c r="D84" s="20">
        <f t="shared" si="52"/>
        <v>9</v>
      </c>
      <c r="E84" s="21">
        <f t="shared" si="53"/>
        <v>9.4736842105263161E-2</v>
      </c>
      <c r="F84" s="22"/>
      <c r="G84" s="20">
        <v>22</v>
      </c>
      <c r="H84" s="23">
        <v>143</v>
      </c>
      <c r="I84" s="32">
        <f t="shared" si="54"/>
        <v>121</v>
      </c>
      <c r="J84" s="33">
        <f t="shared" si="55"/>
        <v>0.84615384615384615</v>
      </c>
      <c r="K84" s="22"/>
      <c r="L84" s="20">
        <v>122</v>
      </c>
      <c r="M84" s="20">
        <v>80</v>
      </c>
      <c r="N84" s="20">
        <f t="shared" si="50"/>
        <v>-42</v>
      </c>
      <c r="O84" s="27">
        <f t="shared" si="56"/>
        <v>-0.52500000000000002</v>
      </c>
    </row>
    <row r="85" spans="1:16" x14ac:dyDescent="0.2">
      <c r="A85" s="20" t="s">
        <v>65</v>
      </c>
      <c r="B85" s="20">
        <v>46</v>
      </c>
      <c r="C85" s="20">
        <v>76</v>
      </c>
      <c r="D85" s="20">
        <f t="shared" si="52"/>
        <v>30</v>
      </c>
      <c r="E85" s="21">
        <f t="shared" si="53"/>
        <v>0.39473684210526316</v>
      </c>
      <c r="F85" s="22"/>
      <c r="G85" s="20">
        <v>55</v>
      </c>
      <c r="H85" s="23">
        <v>44</v>
      </c>
      <c r="I85" s="23">
        <f t="shared" si="54"/>
        <v>-11</v>
      </c>
      <c r="J85" s="21">
        <f t="shared" si="55"/>
        <v>-0.25</v>
      </c>
      <c r="K85" s="22"/>
      <c r="L85" s="20">
        <v>74</v>
      </c>
      <c r="M85" s="20">
        <v>43</v>
      </c>
      <c r="N85" s="20">
        <f t="shared" si="50"/>
        <v>-31</v>
      </c>
      <c r="O85" s="27">
        <f t="shared" si="56"/>
        <v>-0.72093023255813948</v>
      </c>
    </row>
    <row r="86" spans="1:16" x14ac:dyDescent="0.2">
      <c r="A86" s="20" t="s">
        <v>66</v>
      </c>
      <c r="B86" s="20">
        <v>43</v>
      </c>
      <c r="C86" s="20">
        <v>37</v>
      </c>
      <c r="D86" s="24">
        <f t="shared" si="52"/>
        <v>-6</v>
      </c>
      <c r="E86" s="25">
        <f t="shared" si="53"/>
        <v>-0.16216216216216217</v>
      </c>
      <c r="F86" s="22"/>
      <c r="G86" s="20">
        <v>91</v>
      </c>
      <c r="H86" s="23">
        <v>46</v>
      </c>
      <c r="I86" s="23">
        <f t="shared" si="54"/>
        <v>-45</v>
      </c>
      <c r="J86" s="21">
        <f t="shared" si="55"/>
        <v>-0.97826086956521741</v>
      </c>
      <c r="K86" s="22"/>
      <c r="L86" s="20">
        <v>73</v>
      </c>
      <c r="M86" s="20">
        <v>54</v>
      </c>
      <c r="N86" s="20">
        <f t="shared" si="50"/>
        <v>-19</v>
      </c>
      <c r="O86" s="27">
        <f t="shared" si="56"/>
        <v>-0.35185185185185186</v>
      </c>
    </row>
    <row r="87" spans="1:16" x14ac:dyDescent="0.2">
      <c r="A87" s="20" t="s">
        <v>67</v>
      </c>
      <c r="B87" s="20">
        <v>3</v>
      </c>
      <c r="C87" s="20">
        <v>7</v>
      </c>
      <c r="D87" s="20">
        <f t="shared" si="52"/>
        <v>4</v>
      </c>
      <c r="E87" s="21">
        <f t="shared" si="53"/>
        <v>0.5714285714285714</v>
      </c>
      <c r="F87" s="22"/>
      <c r="G87" s="20">
        <v>1</v>
      </c>
      <c r="H87" s="23">
        <v>0</v>
      </c>
      <c r="I87" s="23">
        <f t="shared" si="54"/>
        <v>-1</v>
      </c>
      <c r="J87" s="21" t="e">
        <f t="shared" si="55"/>
        <v>#DIV/0!</v>
      </c>
      <c r="K87" s="22"/>
      <c r="L87" s="20">
        <v>2</v>
      </c>
      <c r="M87" s="20">
        <v>0</v>
      </c>
      <c r="N87" s="20">
        <f t="shared" si="50"/>
        <v>-2</v>
      </c>
      <c r="O87" s="30" t="e">
        <f t="shared" si="56"/>
        <v>#DIV/0!</v>
      </c>
      <c r="P87" s="28"/>
    </row>
    <row r="88" spans="1:16" x14ac:dyDescent="0.2">
      <c r="A88" s="44" t="s">
        <v>68</v>
      </c>
      <c r="B88" s="45">
        <f>SUM(B82:B87)</f>
        <v>327</v>
      </c>
      <c r="C88" s="45">
        <f>SUM(C82:C87)</f>
        <v>348</v>
      </c>
      <c r="D88" s="45">
        <f t="shared" si="52"/>
        <v>21</v>
      </c>
      <c r="E88" s="50">
        <f t="shared" si="53"/>
        <v>6.0344827586206899E-2</v>
      </c>
      <c r="F88" s="48"/>
      <c r="G88" s="44">
        <f>SUM(G82:G87)</f>
        <v>244</v>
      </c>
      <c r="H88" s="49">
        <f>SUM(H82:H87)</f>
        <v>243</v>
      </c>
      <c r="I88" s="49">
        <f t="shared" si="54"/>
        <v>-1</v>
      </c>
      <c r="J88" s="50">
        <f t="shared" si="55"/>
        <v>-4.11522633744856E-3</v>
      </c>
      <c r="K88" s="48"/>
      <c r="L88" s="44">
        <f>SUM(L82:L87)</f>
        <v>428</v>
      </c>
      <c r="M88" s="45">
        <f>SUM(M82:M87)</f>
        <v>328</v>
      </c>
      <c r="N88" s="45">
        <f t="shared" si="50"/>
        <v>-100</v>
      </c>
      <c r="O88" s="50">
        <f t="shared" si="56"/>
        <v>-0.3048780487804878</v>
      </c>
    </row>
    <row r="89" spans="1:16" x14ac:dyDescent="0.2">
      <c r="A89" s="6"/>
      <c r="E89" s="16" t="s">
        <v>103</v>
      </c>
      <c r="F89" s="9"/>
      <c r="G89" s="6"/>
      <c r="H89" s="11"/>
      <c r="I89" s="11"/>
      <c r="J89" s="15" t="s">
        <v>103</v>
      </c>
      <c r="K89" s="9"/>
      <c r="L89" s="7"/>
      <c r="O89" s="16" t="s">
        <v>103</v>
      </c>
    </row>
    <row r="90" spans="1:16" x14ac:dyDescent="0.2">
      <c r="A90" s="44" t="s">
        <v>69</v>
      </c>
      <c r="B90" s="45">
        <v>190</v>
      </c>
      <c r="C90" s="45">
        <v>155</v>
      </c>
      <c r="D90" s="46">
        <f>C90-B90</f>
        <v>-35</v>
      </c>
      <c r="E90" s="47">
        <f>D90/C90/100%</f>
        <v>-0.22580645161290322</v>
      </c>
      <c r="F90" s="52"/>
      <c r="G90" s="44">
        <v>11</v>
      </c>
      <c r="H90" s="49">
        <v>4</v>
      </c>
      <c r="I90" s="49">
        <f>H90-G90</f>
        <v>-7</v>
      </c>
      <c r="J90" s="50">
        <f>I90/H90/100%</f>
        <v>-1.75</v>
      </c>
      <c r="K90" s="52"/>
      <c r="L90" s="44">
        <v>43</v>
      </c>
      <c r="M90" s="45">
        <v>64</v>
      </c>
      <c r="N90" s="49">
        <f t="shared" si="50"/>
        <v>21</v>
      </c>
      <c r="O90" s="50">
        <f>N90/M90/100%</f>
        <v>0.328125</v>
      </c>
    </row>
    <row r="91" spans="1:16" x14ac:dyDescent="0.2">
      <c r="A91" s="6"/>
      <c r="E91" s="16" t="s">
        <v>103</v>
      </c>
      <c r="F91" s="9"/>
      <c r="G91" s="6"/>
      <c r="H91" s="11"/>
      <c r="I91" s="11"/>
      <c r="J91" s="15" t="s">
        <v>103</v>
      </c>
      <c r="K91" s="9"/>
      <c r="L91" s="6"/>
      <c r="O91" s="16" t="s">
        <v>103</v>
      </c>
    </row>
    <row r="92" spans="1:16" x14ac:dyDescent="0.2">
      <c r="A92" s="20" t="s">
        <v>70</v>
      </c>
      <c r="B92" s="20">
        <v>197</v>
      </c>
      <c r="C92" s="20">
        <v>237</v>
      </c>
      <c r="D92" s="20">
        <f t="shared" ref="D92:D101" si="57">C92-B92</f>
        <v>40</v>
      </c>
      <c r="E92" s="21">
        <f t="shared" ref="E92:E101" si="58">D92/C92/100%</f>
        <v>0.16877637130801687</v>
      </c>
      <c r="F92" s="22"/>
      <c r="G92" s="20">
        <v>315</v>
      </c>
      <c r="H92" s="23">
        <v>103</v>
      </c>
      <c r="I92" s="23">
        <f t="shared" ref="I92:I101" si="59">H92-G92</f>
        <v>-212</v>
      </c>
      <c r="J92" s="21">
        <f t="shared" ref="J92:J101" si="60">I92/H92/100%</f>
        <v>-2.058252427184466</v>
      </c>
      <c r="K92" s="22"/>
      <c r="L92" s="20">
        <v>144</v>
      </c>
      <c r="M92" s="20">
        <v>122</v>
      </c>
      <c r="N92" s="20">
        <f t="shared" si="50"/>
        <v>-22</v>
      </c>
      <c r="O92" s="27">
        <f t="shared" ref="O92:O101" si="61">N92/M92/100%</f>
        <v>-0.18032786885245902</v>
      </c>
    </row>
    <row r="93" spans="1:16" x14ac:dyDescent="0.2">
      <c r="A93" s="20" t="s">
        <v>71</v>
      </c>
      <c r="B93" s="20">
        <v>38</v>
      </c>
      <c r="C93" s="20">
        <v>42</v>
      </c>
      <c r="D93" s="20">
        <f t="shared" si="57"/>
        <v>4</v>
      </c>
      <c r="E93" s="21">
        <f t="shared" si="58"/>
        <v>9.5238095238095233E-2</v>
      </c>
      <c r="F93" s="22"/>
      <c r="G93" s="20">
        <v>86</v>
      </c>
      <c r="H93" s="23">
        <v>1</v>
      </c>
      <c r="I93" s="23">
        <f t="shared" si="59"/>
        <v>-85</v>
      </c>
      <c r="J93" s="21">
        <f t="shared" si="60"/>
        <v>-85</v>
      </c>
      <c r="K93" s="22"/>
      <c r="L93" s="20">
        <v>25</v>
      </c>
      <c r="M93" s="20">
        <v>22</v>
      </c>
      <c r="N93" s="20">
        <f t="shared" si="50"/>
        <v>-3</v>
      </c>
      <c r="O93" s="30">
        <f t="shared" si="61"/>
        <v>-0.13636363636363635</v>
      </c>
      <c r="P93" s="28"/>
    </row>
    <row r="94" spans="1:16" x14ac:dyDescent="0.2">
      <c r="A94" s="20" t="s">
        <v>72</v>
      </c>
      <c r="B94" s="20">
        <v>145</v>
      </c>
      <c r="C94" s="20">
        <v>170</v>
      </c>
      <c r="D94" s="20">
        <f t="shared" si="57"/>
        <v>25</v>
      </c>
      <c r="E94" s="26">
        <f t="shared" si="58"/>
        <v>0.14705882352941177</v>
      </c>
      <c r="F94" s="22"/>
      <c r="G94" s="20">
        <v>343</v>
      </c>
      <c r="H94" s="23">
        <v>203</v>
      </c>
      <c r="I94" s="23">
        <f t="shared" si="59"/>
        <v>-140</v>
      </c>
      <c r="J94" s="21">
        <f t="shared" si="60"/>
        <v>-0.68965517241379315</v>
      </c>
      <c r="K94" s="22"/>
      <c r="L94" s="20">
        <v>193</v>
      </c>
      <c r="M94" s="20">
        <v>169</v>
      </c>
      <c r="N94" s="20">
        <f t="shared" si="50"/>
        <v>-24</v>
      </c>
      <c r="O94" s="36">
        <f t="shared" si="61"/>
        <v>-0.14201183431952663</v>
      </c>
      <c r="P94" s="28"/>
    </row>
    <row r="95" spans="1:16" x14ac:dyDescent="0.2">
      <c r="A95" s="20" t="s">
        <v>73</v>
      </c>
      <c r="B95" s="20">
        <v>74</v>
      </c>
      <c r="C95" s="20">
        <v>73</v>
      </c>
      <c r="D95" s="24">
        <f t="shared" si="57"/>
        <v>-1</v>
      </c>
      <c r="E95" s="25">
        <f t="shared" si="58"/>
        <v>-1.3698630136986301E-2</v>
      </c>
      <c r="F95" s="22"/>
      <c r="G95" s="23">
        <v>148</v>
      </c>
      <c r="H95" s="23">
        <v>59</v>
      </c>
      <c r="I95" s="23">
        <f t="shared" si="59"/>
        <v>-89</v>
      </c>
      <c r="J95" s="21">
        <f t="shared" si="60"/>
        <v>-1.5084745762711864</v>
      </c>
      <c r="K95" s="22"/>
      <c r="L95" s="20">
        <v>66</v>
      </c>
      <c r="M95" s="20">
        <v>43</v>
      </c>
      <c r="N95" s="20">
        <f t="shared" si="50"/>
        <v>-23</v>
      </c>
      <c r="O95" s="29">
        <f t="shared" si="61"/>
        <v>-0.53488372093023251</v>
      </c>
    </row>
    <row r="96" spans="1:16" x14ac:dyDescent="0.2">
      <c r="A96" s="20" t="s">
        <v>74</v>
      </c>
      <c r="B96" s="20">
        <v>126</v>
      </c>
      <c r="C96" s="20">
        <v>141</v>
      </c>
      <c r="D96" s="20">
        <f t="shared" si="57"/>
        <v>15</v>
      </c>
      <c r="E96" s="26">
        <f t="shared" si="58"/>
        <v>0.10638297872340426</v>
      </c>
      <c r="F96" s="22"/>
      <c r="G96" s="20">
        <v>94</v>
      </c>
      <c r="H96" s="23">
        <v>87</v>
      </c>
      <c r="I96" s="23">
        <f t="shared" si="59"/>
        <v>-7</v>
      </c>
      <c r="J96" s="21">
        <f t="shared" si="60"/>
        <v>-8.0459770114942528E-2</v>
      </c>
      <c r="K96" s="22"/>
      <c r="L96" s="20">
        <v>116</v>
      </c>
      <c r="M96" s="20">
        <v>92</v>
      </c>
      <c r="N96" s="20">
        <f t="shared" si="50"/>
        <v>-24</v>
      </c>
      <c r="O96" s="36">
        <f t="shared" si="61"/>
        <v>-0.2608695652173913</v>
      </c>
      <c r="P96" s="28"/>
    </row>
    <row r="97" spans="1:18" x14ac:dyDescent="0.2">
      <c r="A97" s="20" t="s">
        <v>75</v>
      </c>
      <c r="B97" s="20">
        <v>123</v>
      </c>
      <c r="C97" s="20">
        <v>124</v>
      </c>
      <c r="D97" s="20">
        <f t="shared" si="57"/>
        <v>1</v>
      </c>
      <c r="E97" s="21">
        <f t="shared" si="58"/>
        <v>8.0645161290322578E-3</v>
      </c>
      <c r="F97" s="22"/>
      <c r="G97" s="20">
        <v>269</v>
      </c>
      <c r="H97" s="23">
        <v>187</v>
      </c>
      <c r="I97" s="23">
        <f t="shared" si="59"/>
        <v>-82</v>
      </c>
      <c r="J97" s="21">
        <f t="shared" si="60"/>
        <v>-0.43850267379679142</v>
      </c>
      <c r="K97" s="22"/>
      <c r="L97" s="20">
        <v>309</v>
      </c>
      <c r="M97" s="20">
        <v>93</v>
      </c>
      <c r="N97" s="20">
        <f t="shared" si="50"/>
        <v>-216</v>
      </c>
      <c r="O97" s="30">
        <f t="shared" si="61"/>
        <v>-2.3225806451612905</v>
      </c>
      <c r="P97" s="28"/>
    </row>
    <row r="98" spans="1:18" x14ac:dyDescent="0.2">
      <c r="A98" s="20" t="s">
        <v>76</v>
      </c>
      <c r="B98" s="20">
        <v>113</v>
      </c>
      <c r="C98" s="20">
        <v>149</v>
      </c>
      <c r="D98" s="20">
        <f t="shared" si="57"/>
        <v>36</v>
      </c>
      <c r="E98" s="21">
        <f t="shared" si="58"/>
        <v>0.24161073825503357</v>
      </c>
      <c r="F98" s="22"/>
      <c r="G98" s="20">
        <v>129</v>
      </c>
      <c r="H98" s="23">
        <v>51</v>
      </c>
      <c r="I98" s="23">
        <f t="shared" si="59"/>
        <v>-78</v>
      </c>
      <c r="J98" s="21">
        <f t="shared" si="60"/>
        <v>-1.5294117647058822</v>
      </c>
      <c r="K98" s="22"/>
      <c r="L98" s="20">
        <v>98</v>
      </c>
      <c r="M98" s="20">
        <v>63</v>
      </c>
      <c r="N98" s="20">
        <f t="shared" si="50"/>
        <v>-35</v>
      </c>
      <c r="O98" s="30">
        <f t="shared" si="61"/>
        <v>-0.55555555555555558</v>
      </c>
      <c r="P98" s="28"/>
    </row>
    <row r="99" spans="1:18" x14ac:dyDescent="0.2">
      <c r="A99" s="20" t="s">
        <v>77</v>
      </c>
      <c r="B99" s="20">
        <v>276</v>
      </c>
      <c r="C99" s="20">
        <v>309</v>
      </c>
      <c r="D99" s="20">
        <f t="shared" si="57"/>
        <v>33</v>
      </c>
      <c r="E99" s="21">
        <f t="shared" si="58"/>
        <v>0.10679611650485436</v>
      </c>
      <c r="F99" s="22"/>
      <c r="G99" s="20">
        <v>246</v>
      </c>
      <c r="H99" s="23">
        <v>157</v>
      </c>
      <c r="I99" s="23">
        <f t="shared" si="59"/>
        <v>-89</v>
      </c>
      <c r="J99" s="21">
        <f t="shared" si="60"/>
        <v>-0.56687898089171973</v>
      </c>
      <c r="K99" s="22"/>
      <c r="L99" s="20">
        <v>300</v>
      </c>
      <c r="M99" s="20">
        <v>207</v>
      </c>
      <c r="N99" s="20">
        <f t="shared" si="50"/>
        <v>-93</v>
      </c>
      <c r="O99" s="30">
        <f t="shared" si="61"/>
        <v>-0.44927536231884058</v>
      </c>
      <c r="P99" s="28"/>
    </row>
    <row r="100" spans="1:18" x14ac:dyDescent="0.2">
      <c r="A100" s="20" t="s">
        <v>78</v>
      </c>
      <c r="B100" s="20">
        <v>86</v>
      </c>
      <c r="C100" s="20">
        <v>70</v>
      </c>
      <c r="D100" s="24">
        <f t="shared" si="57"/>
        <v>-16</v>
      </c>
      <c r="E100" s="25">
        <f t="shared" si="58"/>
        <v>-0.22857142857142856</v>
      </c>
      <c r="F100" s="22"/>
      <c r="G100" s="20">
        <v>111</v>
      </c>
      <c r="H100" s="23">
        <v>161</v>
      </c>
      <c r="I100" s="23">
        <f t="shared" si="59"/>
        <v>50</v>
      </c>
      <c r="J100" s="21">
        <f t="shared" si="60"/>
        <v>0.3105590062111801</v>
      </c>
      <c r="K100" s="22"/>
      <c r="L100" s="20">
        <v>98</v>
      </c>
      <c r="M100" s="20">
        <v>66</v>
      </c>
      <c r="N100" s="20">
        <f t="shared" si="50"/>
        <v>-32</v>
      </c>
      <c r="O100" s="30">
        <f t="shared" si="61"/>
        <v>-0.48484848484848486</v>
      </c>
      <c r="P100" s="28"/>
    </row>
    <row r="101" spans="1:18" x14ac:dyDescent="0.2">
      <c r="A101" s="44" t="s">
        <v>79</v>
      </c>
      <c r="B101" s="45">
        <f>SUM(B92:B100)</f>
        <v>1178</v>
      </c>
      <c r="C101" s="45">
        <f>SUM(C92:C100)</f>
        <v>1315</v>
      </c>
      <c r="D101" s="45">
        <f t="shared" si="57"/>
        <v>137</v>
      </c>
      <c r="E101" s="51">
        <f t="shared" si="58"/>
        <v>0.10418250950570342</v>
      </c>
      <c r="F101" s="48"/>
      <c r="G101" s="44">
        <f>SUM(G92:G100)</f>
        <v>1741</v>
      </c>
      <c r="H101" s="49">
        <f>SUM(H92:H100)</f>
        <v>1009</v>
      </c>
      <c r="I101" s="49">
        <f t="shared" si="59"/>
        <v>-732</v>
      </c>
      <c r="J101" s="50">
        <f t="shared" si="60"/>
        <v>-0.72547076313181369</v>
      </c>
      <c r="K101" s="48"/>
      <c r="L101" s="44">
        <f>SUM(L92:L100)</f>
        <v>1349</v>
      </c>
      <c r="M101" s="45">
        <f>SUM(M92:M100)</f>
        <v>877</v>
      </c>
      <c r="N101" s="45">
        <f t="shared" si="50"/>
        <v>-472</v>
      </c>
      <c r="O101" s="51">
        <f t="shared" si="61"/>
        <v>-0.53819840364880278</v>
      </c>
    </row>
    <row r="102" spans="1:18" x14ac:dyDescent="0.2">
      <c r="A102" s="6"/>
      <c r="E102" s="16" t="s">
        <v>103</v>
      </c>
      <c r="F102" s="9"/>
      <c r="G102" s="6"/>
      <c r="H102" s="11"/>
      <c r="I102" s="11"/>
      <c r="J102" s="15" t="s">
        <v>103</v>
      </c>
      <c r="K102" s="9"/>
      <c r="L102" s="6"/>
      <c r="O102" s="16" t="s">
        <v>103</v>
      </c>
    </row>
    <row r="103" spans="1:18" x14ac:dyDescent="0.2">
      <c r="A103" s="20" t="s">
        <v>80</v>
      </c>
      <c r="B103" s="20">
        <v>141</v>
      </c>
      <c r="C103" s="20">
        <v>144</v>
      </c>
      <c r="D103" s="20">
        <f t="shared" ref="D103:D130" si="62">C103-B103</f>
        <v>3</v>
      </c>
      <c r="E103" s="26">
        <f t="shared" ref="E103:E113" si="63">D103/C103/100%</f>
        <v>2.0833333333333332E-2</v>
      </c>
      <c r="F103" s="22"/>
      <c r="G103" s="20">
        <v>133</v>
      </c>
      <c r="H103" s="23">
        <v>79</v>
      </c>
      <c r="I103" s="23">
        <f t="shared" ref="I103:I113" si="64">H103-G103</f>
        <v>-54</v>
      </c>
      <c r="J103" s="21">
        <f t="shared" ref="J103:J113" si="65">I103/H103/100%</f>
        <v>-0.68354430379746833</v>
      </c>
      <c r="K103" s="22"/>
      <c r="L103" s="20">
        <v>63</v>
      </c>
      <c r="M103" s="20">
        <v>32</v>
      </c>
      <c r="N103" s="20">
        <f t="shared" si="50"/>
        <v>-31</v>
      </c>
      <c r="O103" s="36">
        <f t="shared" ref="O103:O113" si="66">N103/M103/100%</f>
        <v>-0.96875</v>
      </c>
      <c r="P103" s="28"/>
    </row>
    <row r="104" spans="1:18" x14ac:dyDescent="0.2">
      <c r="A104" s="20" t="s">
        <v>81</v>
      </c>
      <c r="B104" s="20">
        <v>596</v>
      </c>
      <c r="C104" s="20">
        <v>615</v>
      </c>
      <c r="D104" s="20">
        <f t="shared" si="62"/>
        <v>19</v>
      </c>
      <c r="E104" s="26">
        <f t="shared" si="63"/>
        <v>3.0894308943089432E-2</v>
      </c>
      <c r="F104" s="22"/>
      <c r="G104" s="20">
        <v>274</v>
      </c>
      <c r="H104" s="23">
        <v>184</v>
      </c>
      <c r="I104" s="23">
        <f t="shared" si="64"/>
        <v>-90</v>
      </c>
      <c r="J104" s="21">
        <f t="shared" si="65"/>
        <v>-0.4891304347826087</v>
      </c>
      <c r="K104" s="22"/>
      <c r="L104" s="20">
        <v>233</v>
      </c>
      <c r="M104" s="20">
        <v>155</v>
      </c>
      <c r="N104" s="20">
        <f t="shared" si="50"/>
        <v>-78</v>
      </c>
      <c r="O104" s="29">
        <f t="shared" si="66"/>
        <v>-0.50322580645161286</v>
      </c>
    </row>
    <row r="105" spans="1:18" x14ac:dyDescent="0.2">
      <c r="A105" s="20" t="s">
        <v>82</v>
      </c>
      <c r="B105" s="20">
        <v>101</v>
      </c>
      <c r="C105" s="20">
        <v>94</v>
      </c>
      <c r="D105" s="24">
        <f t="shared" si="62"/>
        <v>-7</v>
      </c>
      <c r="E105" s="25">
        <f t="shared" si="63"/>
        <v>-7.4468085106382975E-2</v>
      </c>
      <c r="F105" s="22"/>
      <c r="G105" s="20">
        <v>75</v>
      </c>
      <c r="H105" s="23">
        <v>34</v>
      </c>
      <c r="I105" s="23">
        <f t="shared" si="64"/>
        <v>-41</v>
      </c>
      <c r="J105" s="21">
        <f t="shared" si="65"/>
        <v>-1.2058823529411764</v>
      </c>
      <c r="K105" s="22"/>
      <c r="L105" s="20">
        <v>45</v>
      </c>
      <c r="M105" s="20">
        <v>36</v>
      </c>
      <c r="N105" s="20">
        <f t="shared" si="50"/>
        <v>-9</v>
      </c>
      <c r="O105" s="30">
        <f t="shared" si="66"/>
        <v>-0.25</v>
      </c>
      <c r="P105" s="28"/>
    </row>
    <row r="106" spans="1:18" x14ac:dyDescent="0.2">
      <c r="A106" s="20" t="s">
        <v>83</v>
      </c>
      <c r="B106" s="20">
        <v>145</v>
      </c>
      <c r="C106" s="20">
        <v>171</v>
      </c>
      <c r="D106" s="20">
        <f t="shared" si="62"/>
        <v>26</v>
      </c>
      <c r="E106" s="26">
        <f t="shared" si="63"/>
        <v>0.15204678362573099</v>
      </c>
      <c r="F106" s="22"/>
      <c r="G106" s="20">
        <v>81</v>
      </c>
      <c r="H106" s="23">
        <v>42</v>
      </c>
      <c r="I106" s="23">
        <f t="shared" si="64"/>
        <v>-39</v>
      </c>
      <c r="J106" s="21">
        <f t="shared" si="65"/>
        <v>-0.9285714285714286</v>
      </c>
      <c r="K106" s="22"/>
      <c r="L106" s="20">
        <v>40</v>
      </c>
      <c r="M106" s="20">
        <v>35</v>
      </c>
      <c r="N106" s="20">
        <f t="shared" si="50"/>
        <v>-5</v>
      </c>
      <c r="O106" s="29">
        <f t="shared" si="66"/>
        <v>-0.14285714285714285</v>
      </c>
    </row>
    <row r="107" spans="1:18" x14ac:dyDescent="0.2">
      <c r="A107" s="20" t="s">
        <v>84</v>
      </c>
      <c r="B107" s="20">
        <v>26</v>
      </c>
      <c r="C107" s="20">
        <v>31</v>
      </c>
      <c r="D107" s="20">
        <f t="shared" si="62"/>
        <v>5</v>
      </c>
      <c r="E107" s="21">
        <f t="shared" si="63"/>
        <v>0.16129032258064516</v>
      </c>
      <c r="F107" s="22"/>
      <c r="G107" s="20">
        <v>74</v>
      </c>
      <c r="H107" s="23">
        <v>8</v>
      </c>
      <c r="I107" s="23">
        <f t="shared" si="64"/>
        <v>-66</v>
      </c>
      <c r="J107" s="21">
        <f t="shared" si="65"/>
        <v>-8.25</v>
      </c>
      <c r="K107" s="22"/>
      <c r="L107" s="20">
        <v>23</v>
      </c>
      <c r="M107" s="20">
        <v>14</v>
      </c>
      <c r="N107" s="20">
        <f t="shared" si="50"/>
        <v>-9</v>
      </c>
      <c r="O107" s="27">
        <f t="shared" si="66"/>
        <v>-0.6428571428571429</v>
      </c>
    </row>
    <row r="108" spans="1:18" x14ac:dyDescent="0.2">
      <c r="A108" s="20" t="s">
        <v>85</v>
      </c>
      <c r="B108" s="20">
        <v>9</v>
      </c>
      <c r="C108" s="20">
        <v>4</v>
      </c>
      <c r="D108" s="24">
        <f t="shared" si="62"/>
        <v>-5</v>
      </c>
      <c r="E108" s="25">
        <f t="shared" si="63"/>
        <v>-1.25</v>
      </c>
      <c r="F108" s="22"/>
      <c r="G108" s="20">
        <v>14</v>
      </c>
      <c r="H108" s="23">
        <v>1</v>
      </c>
      <c r="I108" s="23">
        <f t="shared" si="64"/>
        <v>-13</v>
      </c>
      <c r="J108" s="21">
        <f t="shared" si="65"/>
        <v>-13</v>
      </c>
      <c r="K108" s="22"/>
      <c r="L108" s="20">
        <v>10</v>
      </c>
      <c r="M108" s="20">
        <v>9</v>
      </c>
      <c r="N108" s="20">
        <f t="shared" si="50"/>
        <v>-1</v>
      </c>
      <c r="O108" s="27">
        <f t="shared" si="66"/>
        <v>-0.1111111111111111</v>
      </c>
    </row>
    <row r="109" spans="1:18" x14ac:dyDescent="0.2">
      <c r="A109" s="20" t="s">
        <v>86</v>
      </c>
      <c r="B109" s="20">
        <v>122</v>
      </c>
      <c r="C109" s="20">
        <v>117</v>
      </c>
      <c r="D109" s="24">
        <f t="shared" si="62"/>
        <v>-5</v>
      </c>
      <c r="E109" s="25">
        <f t="shared" si="63"/>
        <v>-4.2735042735042736E-2</v>
      </c>
      <c r="F109" s="22"/>
      <c r="G109" s="20">
        <v>61</v>
      </c>
      <c r="H109" s="23">
        <v>32</v>
      </c>
      <c r="I109" s="23">
        <f t="shared" si="64"/>
        <v>-29</v>
      </c>
      <c r="J109" s="21">
        <f t="shared" si="65"/>
        <v>-0.90625</v>
      </c>
      <c r="K109" s="22"/>
      <c r="L109" s="20">
        <v>48</v>
      </c>
      <c r="M109" s="20">
        <v>61</v>
      </c>
      <c r="N109" s="20">
        <f t="shared" si="50"/>
        <v>13</v>
      </c>
      <c r="O109" s="36">
        <f t="shared" si="66"/>
        <v>0.21311475409836064</v>
      </c>
      <c r="P109" s="28"/>
    </row>
    <row r="110" spans="1:18" x14ac:dyDescent="0.2">
      <c r="A110" s="20" t="s">
        <v>87</v>
      </c>
      <c r="B110" s="20">
        <v>219</v>
      </c>
      <c r="C110" s="20">
        <v>235</v>
      </c>
      <c r="D110" s="20">
        <f t="shared" si="62"/>
        <v>16</v>
      </c>
      <c r="E110" s="21">
        <f t="shared" si="63"/>
        <v>6.8085106382978725E-2</v>
      </c>
      <c r="F110" s="22"/>
      <c r="G110" s="20">
        <v>164</v>
      </c>
      <c r="H110" s="23">
        <v>94</v>
      </c>
      <c r="I110" s="23">
        <f t="shared" si="64"/>
        <v>-70</v>
      </c>
      <c r="J110" s="21">
        <f t="shared" si="65"/>
        <v>-0.74468085106382975</v>
      </c>
      <c r="K110" s="22"/>
      <c r="L110" s="20">
        <v>86</v>
      </c>
      <c r="M110" s="20">
        <v>76</v>
      </c>
      <c r="N110" s="20">
        <f t="shared" si="50"/>
        <v>-10</v>
      </c>
      <c r="O110" s="27">
        <f t="shared" si="66"/>
        <v>-0.13157894736842105</v>
      </c>
    </row>
    <row r="111" spans="1:18" x14ac:dyDescent="0.2">
      <c r="A111" s="20" t="s">
        <v>88</v>
      </c>
      <c r="B111" s="20">
        <v>211</v>
      </c>
      <c r="C111" s="20">
        <v>171</v>
      </c>
      <c r="D111" s="24">
        <f t="shared" si="62"/>
        <v>-40</v>
      </c>
      <c r="E111" s="25">
        <f t="shared" si="63"/>
        <v>-0.23391812865497075</v>
      </c>
      <c r="F111" s="22"/>
      <c r="G111" s="20">
        <v>116</v>
      </c>
      <c r="H111" s="23">
        <v>42</v>
      </c>
      <c r="I111" s="23">
        <f t="shared" si="64"/>
        <v>-74</v>
      </c>
      <c r="J111" s="21">
        <f t="shared" si="65"/>
        <v>-1.7619047619047619</v>
      </c>
      <c r="K111" s="22"/>
      <c r="L111" s="20">
        <v>66</v>
      </c>
      <c r="M111" s="20">
        <v>79</v>
      </c>
      <c r="N111" s="23">
        <f t="shared" si="50"/>
        <v>13</v>
      </c>
      <c r="O111" s="30">
        <f t="shared" si="66"/>
        <v>0.16455696202531644</v>
      </c>
      <c r="P111" s="28"/>
      <c r="R111" s="12"/>
    </row>
    <row r="112" spans="1:18" x14ac:dyDescent="0.2">
      <c r="A112" s="20" t="s">
        <v>89</v>
      </c>
      <c r="B112" s="20">
        <v>248</v>
      </c>
      <c r="C112" s="20">
        <v>267</v>
      </c>
      <c r="D112" s="20">
        <f t="shared" si="62"/>
        <v>19</v>
      </c>
      <c r="E112" s="26">
        <f t="shared" si="63"/>
        <v>7.116104868913857E-2</v>
      </c>
      <c r="F112" s="22"/>
      <c r="G112" s="20">
        <v>182</v>
      </c>
      <c r="H112" s="23">
        <v>85</v>
      </c>
      <c r="I112" s="23">
        <f t="shared" si="64"/>
        <v>-97</v>
      </c>
      <c r="J112" s="21">
        <f t="shared" si="65"/>
        <v>-1.1411764705882352</v>
      </c>
      <c r="K112" s="22"/>
      <c r="L112" s="20">
        <v>91</v>
      </c>
      <c r="M112" s="20">
        <v>60</v>
      </c>
      <c r="N112" s="20">
        <f t="shared" si="50"/>
        <v>-31</v>
      </c>
      <c r="O112" s="36">
        <f t="shared" si="66"/>
        <v>-0.51666666666666672</v>
      </c>
      <c r="P112" s="28"/>
    </row>
    <row r="113" spans="1:18" x14ac:dyDescent="0.2">
      <c r="A113" s="44" t="s">
        <v>90</v>
      </c>
      <c r="B113" s="45">
        <f>SUM(B103:B112)</f>
        <v>1818</v>
      </c>
      <c r="C113" s="45">
        <f>SUM(C103:C112)</f>
        <v>1849</v>
      </c>
      <c r="D113" s="45">
        <f t="shared" si="62"/>
        <v>31</v>
      </c>
      <c r="E113" s="51">
        <f t="shared" si="63"/>
        <v>1.6765819361817199E-2</v>
      </c>
      <c r="F113" s="48"/>
      <c r="G113" s="44">
        <f>SUM(G103:G112)</f>
        <v>1174</v>
      </c>
      <c r="H113" s="49">
        <f>SUM(H103:H112)</f>
        <v>601</v>
      </c>
      <c r="I113" s="49">
        <f t="shared" si="64"/>
        <v>-573</v>
      </c>
      <c r="J113" s="50">
        <f t="shared" si="65"/>
        <v>-0.95341098169717142</v>
      </c>
      <c r="K113" s="48"/>
      <c r="L113" s="44">
        <f>SUM(L103:L112)</f>
        <v>705</v>
      </c>
      <c r="M113" s="45">
        <f>SUM(M103:M112)</f>
        <v>557</v>
      </c>
      <c r="N113" s="45">
        <f t="shared" si="50"/>
        <v>-148</v>
      </c>
      <c r="O113" s="51">
        <f t="shared" si="66"/>
        <v>-0.26570915619389585</v>
      </c>
    </row>
    <row r="114" spans="1:18" x14ac:dyDescent="0.2">
      <c r="A114" s="6"/>
      <c r="E114" s="16" t="s">
        <v>103</v>
      </c>
      <c r="F114" s="9"/>
      <c r="G114" s="6"/>
      <c r="H114" s="11"/>
      <c r="I114" s="11"/>
      <c r="J114" s="15" t="s">
        <v>103</v>
      </c>
      <c r="K114" s="9"/>
      <c r="L114" s="6"/>
      <c r="M114" s="2"/>
      <c r="O114" s="16" t="s">
        <v>103</v>
      </c>
    </row>
    <row r="115" spans="1:18" x14ac:dyDescent="0.2">
      <c r="A115" s="44" t="s">
        <v>91</v>
      </c>
      <c r="B115" s="45">
        <v>39</v>
      </c>
      <c r="C115" s="45">
        <v>34</v>
      </c>
      <c r="D115" s="46">
        <f t="shared" si="62"/>
        <v>-5</v>
      </c>
      <c r="E115" s="47">
        <f>D115/C115/100%</f>
        <v>-0.14705882352941177</v>
      </c>
      <c r="F115" s="52"/>
      <c r="G115" s="44">
        <v>40</v>
      </c>
      <c r="H115" s="49">
        <v>21</v>
      </c>
      <c r="I115" s="49">
        <f>H115-G115</f>
        <v>-19</v>
      </c>
      <c r="J115" s="50">
        <f>I115/H115/100%</f>
        <v>-0.90476190476190477</v>
      </c>
      <c r="K115" s="52"/>
      <c r="L115" s="44">
        <v>11</v>
      </c>
      <c r="M115" s="45">
        <v>11</v>
      </c>
      <c r="N115" s="45">
        <f t="shared" si="50"/>
        <v>0</v>
      </c>
      <c r="O115" s="51">
        <f>N115/M115/100%</f>
        <v>0</v>
      </c>
    </row>
    <row r="116" spans="1:18" x14ac:dyDescent="0.2">
      <c r="A116" s="6"/>
      <c r="E116" s="14" t="s">
        <v>103</v>
      </c>
      <c r="F116" s="9"/>
      <c r="G116" s="6"/>
      <c r="H116" s="11"/>
      <c r="I116" s="11"/>
      <c r="J116" s="15" t="s">
        <v>103</v>
      </c>
      <c r="K116" s="9"/>
      <c r="L116" s="6"/>
      <c r="M116" s="2"/>
      <c r="O116" s="16" t="s">
        <v>103</v>
      </c>
    </row>
    <row r="117" spans="1:18" x14ac:dyDescent="0.2">
      <c r="A117" s="44" t="s">
        <v>92</v>
      </c>
      <c r="B117" s="45">
        <v>387</v>
      </c>
      <c r="C117" s="45">
        <v>449</v>
      </c>
      <c r="D117" s="45">
        <f t="shared" si="62"/>
        <v>62</v>
      </c>
      <c r="E117" s="51">
        <f>D117/C117/100%</f>
        <v>0.13808463251670378</v>
      </c>
      <c r="F117" s="52"/>
      <c r="G117" s="44">
        <v>431</v>
      </c>
      <c r="H117" s="49">
        <v>381</v>
      </c>
      <c r="I117" s="49">
        <f>H117-G117</f>
        <v>-50</v>
      </c>
      <c r="J117" s="50">
        <f>I117/H117/100%</f>
        <v>-0.13123359580052493</v>
      </c>
      <c r="K117" s="52"/>
      <c r="L117" s="44">
        <v>173</v>
      </c>
      <c r="M117" s="45">
        <v>118</v>
      </c>
      <c r="N117" s="45">
        <f t="shared" si="50"/>
        <v>-55</v>
      </c>
      <c r="O117" s="51">
        <f>N117/M117/100%</f>
        <v>-0.46610169491525422</v>
      </c>
    </row>
    <row r="118" spans="1:18" x14ac:dyDescent="0.2">
      <c r="A118" s="6"/>
      <c r="E118" s="16" t="s">
        <v>103</v>
      </c>
      <c r="F118" s="9"/>
      <c r="G118" s="6"/>
      <c r="H118" s="11"/>
      <c r="I118" s="11"/>
      <c r="J118" s="15" t="s">
        <v>103</v>
      </c>
      <c r="K118" s="9"/>
      <c r="L118" s="6"/>
      <c r="M118" s="2"/>
      <c r="O118" s="16" t="s">
        <v>103</v>
      </c>
    </row>
    <row r="119" spans="1:18" x14ac:dyDescent="0.2">
      <c r="A119" s="44" t="s">
        <v>105</v>
      </c>
      <c r="B119" s="45">
        <v>0</v>
      </c>
      <c r="C119" s="45">
        <v>3</v>
      </c>
      <c r="D119" s="45">
        <f t="shared" si="62"/>
        <v>3</v>
      </c>
      <c r="E119" s="51">
        <f>D119/C119/100%</f>
        <v>1</v>
      </c>
      <c r="F119" s="52"/>
      <c r="G119" s="44">
        <v>1</v>
      </c>
      <c r="H119" s="49">
        <v>0</v>
      </c>
      <c r="I119" s="49">
        <f>H119-G119</f>
        <v>-1</v>
      </c>
      <c r="J119" s="50" t="e">
        <f>I119/H119/100%</f>
        <v>#DIV/0!</v>
      </c>
      <c r="K119" s="52"/>
      <c r="L119" s="44">
        <v>0</v>
      </c>
      <c r="M119" s="45">
        <v>0</v>
      </c>
      <c r="N119" s="45">
        <f t="shared" si="50"/>
        <v>0</v>
      </c>
      <c r="O119" s="51" t="e">
        <f>N119/M119/100%</f>
        <v>#DIV/0!</v>
      </c>
    </row>
    <row r="120" spans="1:18" x14ac:dyDescent="0.2">
      <c r="A120" s="6"/>
      <c r="E120" s="16" t="s">
        <v>103</v>
      </c>
      <c r="F120" s="9"/>
      <c r="G120" s="6"/>
      <c r="H120" s="11"/>
      <c r="I120" s="11"/>
      <c r="J120" s="15" t="s">
        <v>103</v>
      </c>
      <c r="K120" s="9"/>
      <c r="L120" s="6"/>
      <c r="O120" s="16" t="s">
        <v>103</v>
      </c>
    </row>
    <row r="121" spans="1:18" x14ac:dyDescent="0.2">
      <c r="A121" s="20" t="s">
        <v>93</v>
      </c>
      <c r="B121" s="20">
        <v>81</v>
      </c>
      <c r="C121" s="20">
        <v>124</v>
      </c>
      <c r="D121" s="20">
        <f t="shared" si="62"/>
        <v>43</v>
      </c>
      <c r="E121" s="26">
        <f t="shared" ref="E121:E128" si="67">D121/C121/100%</f>
        <v>0.34677419354838712</v>
      </c>
      <c r="F121" s="22"/>
      <c r="G121" s="20">
        <v>18</v>
      </c>
      <c r="H121" s="23">
        <v>2</v>
      </c>
      <c r="I121" s="23">
        <f t="shared" ref="I121:I128" si="68">H121-G121</f>
        <v>-16</v>
      </c>
      <c r="J121" s="21">
        <f t="shared" ref="J121:J128" si="69">I121/H121/100%</f>
        <v>-8</v>
      </c>
      <c r="K121" s="22"/>
      <c r="L121" s="20">
        <v>9</v>
      </c>
      <c r="M121" s="20">
        <v>4</v>
      </c>
      <c r="N121" s="20">
        <f t="shared" si="50"/>
        <v>-5</v>
      </c>
      <c r="O121" s="36">
        <f t="shared" ref="O121:O128" si="70">N121/M121/100%</f>
        <v>-1.25</v>
      </c>
      <c r="P121" s="28"/>
    </row>
    <row r="122" spans="1:18" x14ac:dyDescent="0.2">
      <c r="A122" s="20" t="s">
        <v>94</v>
      </c>
      <c r="B122" s="20">
        <v>35</v>
      </c>
      <c r="C122" s="20">
        <v>21</v>
      </c>
      <c r="D122" s="24">
        <f t="shared" si="62"/>
        <v>-14</v>
      </c>
      <c r="E122" s="25">
        <f t="shared" si="67"/>
        <v>-0.66666666666666663</v>
      </c>
      <c r="F122" s="22"/>
      <c r="G122" s="20">
        <v>102</v>
      </c>
      <c r="H122" s="23">
        <v>42</v>
      </c>
      <c r="I122" s="23">
        <f t="shared" si="68"/>
        <v>-60</v>
      </c>
      <c r="J122" s="21">
        <f t="shared" si="69"/>
        <v>-1.4285714285714286</v>
      </c>
      <c r="K122" s="22"/>
      <c r="L122" s="20">
        <v>40</v>
      </c>
      <c r="M122" s="20">
        <v>23</v>
      </c>
      <c r="N122" s="20">
        <f t="shared" si="50"/>
        <v>-17</v>
      </c>
      <c r="O122" s="30">
        <f t="shared" si="70"/>
        <v>-0.73913043478260865</v>
      </c>
      <c r="P122" s="28"/>
      <c r="R122" s="8"/>
    </row>
    <row r="123" spans="1:18" x14ac:dyDescent="0.2">
      <c r="A123" s="20" t="s">
        <v>95</v>
      </c>
      <c r="B123" s="20">
        <v>81</v>
      </c>
      <c r="C123" s="20">
        <v>95</v>
      </c>
      <c r="D123" s="20">
        <f t="shared" si="62"/>
        <v>14</v>
      </c>
      <c r="E123" s="21">
        <f t="shared" si="67"/>
        <v>0.14736842105263157</v>
      </c>
      <c r="F123" s="22"/>
      <c r="G123" s="20">
        <v>20</v>
      </c>
      <c r="H123" s="23">
        <v>12</v>
      </c>
      <c r="I123" s="23">
        <f t="shared" si="68"/>
        <v>-8</v>
      </c>
      <c r="J123" s="21">
        <f t="shared" si="69"/>
        <v>-0.66666666666666663</v>
      </c>
      <c r="K123" s="22"/>
      <c r="L123" s="20">
        <v>71</v>
      </c>
      <c r="M123" s="20">
        <v>42</v>
      </c>
      <c r="N123" s="20">
        <f t="shared" si="50"/>
        <v>-29</v>
      </c>
      <c r="O123" s="27">
        <f t="shared" si="70"/>
        <v>-0.69047619047619047</v>
      </c>
    </row>
    <row r="124" spans="1:18" x14ac:dyDescent="0.2">
      <c r="A124" s="20" t="s">
        <v>96</v>
      </c>
      <c r="B124" s="20">
        <v>108</v>
      </c>
      <c r="C124" s="20">
        <v>122</v>
      </c>
      <c r="D124" s="20">
        <f t="shared" si="62"/>
        <v>14</v>
      </c>
      <c r="E124" s="26">
        <f t="shared" si="67"/>
        <v>0.11475409836065574</v>
      </c>
      <c r="F124" s="22"/>
      <c r="G124" s="20">
        <v>35</v>
      </c>
      <c r="H124" s="23">
        <v>29</v>
      </c>
      <c r="I124" s="23">
        <f t="shared" si="68"/>
        <v>-6</v>
      </c>
      <c r="J124" s="21">
        <f t="shared" si="69"/>
        <v>-0.20689655172413793</v>
      </c>
      <c r="K124" s="22"/>
      <c r="L124" s="20">
        <v>26</v>
      </c>
      <c r="M124" s="20">
        <v>30</v>
      </c>
      <c r="N124" s="23">
        <f t="shared" si="50"/>
        <v>4</v>
      </c>
      <c r="O124" s="30">
        <f t="shared" si="70"/>
        <v>0.13333333333333333</v>
      </c>
      <c r="P124" s="28"/>
    </row>
    <row r="125" spans="1:18" x14ac:dyDescent="0.2">
      <c r="A125" s="20" t="s">
        <v>97</v>
      </c>
      <c r="B125" s="20">
        <v>158</v>
      </c>
      <c r="C125" s="20">
        <v>204</v>
      </c>
      <c r="D125" s="20">
        <f t="shared" si="62"/>
        <v>46</v>
      </c>
      <c r="E125" s="26">
        <f t="shared" si="67"/>
        <v>0.22549019607843138</v>
      </c>
      <c r="F125" s="22"/>
      <c r="G125" s="20">
        <v>34</v>
      </c>
      <c r="H125" s="23">
        <v>31</v>
      </c>
      <c r="I125" s="23">
        <f t="shared" si="68"/>
        <v>-3</v>
      </c>
      <c r="J125" s="21">
        <f t="shared" si="69"/>
        <v>-9.6774193548387094E-2</v>
      </c>
      <c r="K125" s="22"/>
      <c r="L125" s="20">
        <v>54</v>
      </c>
      <c r="M125" s="20">
        <v>44</v>
      </c>
      <c r="N125" s="20">
        <f t="shared" si="50"/>
        <v>-10</v>
      </c>
      <c r="O125" s="36">
        <f t="shared" si="70"/>
        <v>-0.22727272727272727</v>
      </c>
      <c r="P125" s="28"/>
    </row>
    <row r="126" spans="1:18" x14ac:dyDescent="0.2">
      <c r="A126" s="20" t="s">
        <v>98</v>
      </c>
      <c r="B126" s="20">
        <v>7</v>
      </c>
      <c r="C126" s="20">
        <v>14</v>
      </c>
      <c r="D126" s="20">
        <f t="shared" si="62"/>
        <v>7</v>
      </c>
      <c r="E126" s="21">
        <f t="shared" si="67"/>
        <v>0.5</v>
      </c>
      <c r="F126" s="22"/>
      <c r="G126" s="20">
        <v>11</v>
      </c>
      <c r="H126" s="23">
        <v>11</v>
      </c>
      <c r="I126" s="23">
        <f t="shared" si="68"/>
        <v>0</v>
      </c>
      <c r="J126" s="21">
        <f t="shared" si="69"/>
        <v>0</v>
      </c>
      <c r="K126" s="22"/>
      <c r="L126" s="20">
        <v>31</v>
      </c>
      <c r="M126" s="20">
        <v>23</v>
      </c>
      <c r="N126" s="20">
        <f t="shared" si="50"/>
        <v>-8</v>
      </c>
      <c r="O126" s="27">
        <f t="shared" si="70"/>
        <v>-0.34782608695652173</v>
      </c>
    </row>
    <row r="127" spans="1:18" x14ac:dyDescent="0.2">
      <c r="A127" s="20" t="s">
        <v>99</v>
      </c>
      <c r="B127" s="20">
        <v>12</v>
      </c>
      <c r="C127" s="20">
        <v>25</v>
      </c>
      <c r="D127" s="20">
        <f t="shared" si="62"/>
        <v>13</v>
      </c>
      <c r="E127" s="21">
        <f t="shared" si="67"/>
        <v>0.52</v>
      </c>
      <c r="F127" s="22"/>
      <c r="G127" s="20">
        <v>35</v>
      </c>
      <c r="H127" s="23">
        <v>10</v>
      </c>
      <c r="I127" s="23">
        <f t="shared" si="68"/>
        <v>-25</v>
      </c>
      <c r="J127" s="21">
        <f t="shared" si="69"/>
        <v>-2.5</v>
      </c>
      <c r="K127" s="22"/>
      <c r="L127" s="20">
        <v>14</v>
      </c>
      <c r="M127" s="20">
        <v>16</v>
      </c>
      <c r="N127" s="20">
        <f t="shared" si="50"/>
        <v>2</v>
      </c>
      <c r="O127" s="27">
        <f t="shared" si="70"/>
        <v>0.125</v>
      </c>
    </row>
    <row r="128" spans="1:18" x14ac:dyDescent="0.2">
      <c r="A128" s="44" t="s">
        <v>100</v>
      </c>
      <c r="B128" s="34">
        <f>SUM(B121:B127)</f>
        <v>482</v>
      </c>
      <c r="C128" s="34">
        <f>SUM(C121:C127)</f>
        <v>605</v>
      </c>
      <c r="D128" s="34">
        <f t="shared" si="62"/>
        <v>123</v>
      </c>
      <c r="E128" s="51">
        <f t="shared" si="67"/>
        <v>0.20330578512396694</v>
      </c>
      <c r="F128" s="48"/>
      <c r="G128" s="44">
        <f>SUM(G121:G127)</f>
        <v>255</v>
      </c>
      <c r="H128" s="38">
        <f>SUM(H121:H127)</f>
        <v>137</v>
      </c>
      <c r="I128" s="38">
        <f t="shared" si="68"/>
        <v>-118</v>
      </c>
      <c r="J128" s="56">
        <f t="shared" si="69"/>
        <v>-0.86131386861313863</v>
      </c>
      <c r="K128" s="48"/>
      <c r="L128" s="44">
        <f>SUM(L121:L127)</f>
        <v>245</v>
      </c>
      <c r="M128" s="34">
        <f>SUM(M121:M127)</f>
        <v>182</v>
      </c>
      <c r="N128" s="45">
        <f t="shared" si="50"/>
        <v>-63</v>
      </c>
      <c r="O128" s="51">
        <f t="shared" si="70"/>
        <v>-0.34615384615384615</v>
      </c>
    </row>
    <row r="129" spans="1:15" ht="13.5" thickBot="1" x14ac:dyDescent="0.25">
      <c r="A129" s="6"/>
      <c r="E129" s="16" t="s">
        <v>103</v>
      </c>
      <c r="F129" s="9"/>
      <c r="G129" s="6"/>
      <c r="H129" s="11"/>
      <c r="I129" s="11"/>
      <c r="J129" s="15" t="s">
        <v>103</v>
      </c>
      <c r="K129" s="9"/>
      <c r="L129" s="6"/>
      <c r="O129" s="16" t="s">
        <v>103</v>
      </c>
    </row>
    <row r="130" spans="1:15" ht="13.5" thickBot="1" x14ac:dyDescent="0.25">
      <c r="A130" s="40" t="s">
        <v>101</v>
      </c>
      <c r="B130" s="41">
        <v>11263</v>
      </c>
      <c r="C130" s="41">
        <v>11781</v>
      </c>
      <c r="D130" s="41">
        <f t="shared" si="62"/>
        <v>518</v>
      </c>
      <c r="E130" s="17">
        <f>D130/C130/100%</f>
        <v>4.3969102792632206E-2</v>
      </c>
      <c r="F130" s="39"/>
      <c r="G130" s="42">
        <v>9655</v>
      </c>
      <c r="H130" s="43">
        <v>5412</v>
      </c>
      <c r="I130" s="43">
        <f>H130-G130</f>
        <v>-4243</v>
      </c>
      <c r="J130" s="17">
        <f>I130/H130/100%</f>
        <v>-0.78399852180339991</v>
      </c>
      <c r="K130" s="39"/>
      <c r="L130" s="42">
        <v>8911</v>
      </c>
      <c r="M130" s="41">
        <v>5913</v>
      </c>
      <c r="N130" s="41">
        <f t="shared" si="50"/>
        <v>-2998</v>
      </c>
      <c r="O130" s="17">
        <f>N130/M130/100%</f>
        <v>-0.5070184339590732</v>
      </c>
    </row>
    <row r="133" spans="1:15" x14ac:dyDescent="0.2">
      <c r="A133" s="3" t="s">
        <v>110</v>
      </c>
    </row>
    <row r="134" spans="1:15" x14ac:dyDescent="0.2">
      <c r="A134" s="3" t="s">
        <v>111</v>
      </c>
      <c r="B134" s="3"/>
      <c r="C134" s="3"/>
      <c r="D134" s="3"/>
      <c r="E134" s="19"/>
      <c r="G134" s="3"/>
      <c r="H134" s="3"/>
      <c r="I134" s="3"/>
      <c r="J134" s="19"/>
      <c r="L134" s="3"/>
      <c r="N134" s="3"/>
      <c r="O134" s="19"/>
    </row>
    <row r="135" spans="1:15" x14ac:dyDescent="0.2">
      <c r="A135" s="3" t="s">
        <v>112</v>
      </c>
      <c r="B135" s="3"/>
      <c r="C135" s="3"/>
      <c r="D135" s="3"/>
      <c r="E135" s="19"/>
      <c r="G135" s="3"/>
      <c r="H135" s="3"/>
      <c r="I135" s="3"/>
      <c r="J135" s="19"/>
      <c r="L135" s="3"/>
      <c r="M135" s="3"/>
      <c r="N135" s="3"/>
      <c r="O135" s="19"/>
    </row>
  </sheetData>
  <mergeCells count="13">
    <mergeCell ref="O1:O2"/>
    <mergeCell ref="H1:H2"/>
    <mergeCell ref="I1:I2"/>
    <mergeCell ref="J1:J2"/>
    <mergeCell ref="L1:L2"/>
    <mergeCell ref="M1:M2"/>
    <mergeCell ref="N1:N2"/>
    <mergeCell ref="G1:G2"/>
    <mergeCell ref="A1:A2"/>
    <mergeCell ref="B1:B2"/>
    <mergeCell ref="C1:C2"/>
    <mergeCell ref="E1:E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Foglio1</vt:lpstr>
      <vt:lpstr>Foglio2</vt:lpstr>
      <vt:lpstr>Foglio1!Area_stampa</vt:lpstr>
      <vt:lpstr>Foglio1!Titoli_stampa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GiacomoM</dc:creator>
  <cp:lastModifiedBy>Lorenzo Simoncelli</cp:lastModifiedBy>
  <cp:lastPrinted>2025-01-29T17:40:44Z</cp:lastPrinted>
  <dcterms:created xsi:type="dcterms:W3CDTF">2020-02-16T10:38:58Z</dcterms:created>
  <dcterms:modified xsi:type="dcterms:W3CDTF">2026-02-12T10:56:42Z</dcterms:modified>
</cp:coreProperties>
</file>