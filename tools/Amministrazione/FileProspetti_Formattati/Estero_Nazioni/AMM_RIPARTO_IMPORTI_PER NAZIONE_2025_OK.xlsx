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GENTATA_RINOVO\CNA_2025\AMMINISTRAZIONE_2025\ESTERO\ESTERO_AMMINISTRAZIONE\"/>
    </mc:Choice>
  </mc:AlternateContent>
  <xr:revisionPtr revIDLastSave="0" documentId="13_ncr:1_{3FAA2796-B561-48FC-B4EB-199974AB8B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LEGHE_IMPORTI_NAZIONI_2025" sheetId="1" r:id="rId1"/>
  </sheets>
  <calcPr calcId="181029"/>
</workbook>
</file>

<file path=xl/calcChain.xml><?xml version="1.0" encoding="utf-8"?>
<calcChain xmlns="http://schemas.openxmlformats.org/spreadsheetml/2006/main">
  <c r="E17" i="1" l="1"/>
  <c r="E18" i="1"/>
  <c r="E9" i="1"/>
  <c r="D20" i="1"/>
  <c r="E20" i="1" s="1"/>
  <c r="C20" i="1"/>
  <c r="D13" i="1"/>
  <c r="E13" i="1" s="1"/>
  <c r="C13" i="1"/>
  <c r="E16" i="1"/>
  <c r="E19" i="1"/>
  <c r="E15" i="1"/>
  <c r="E8" i="1"/>
  <c r="E10" i="1"/>
  <c r="E11" i="1"/>
  <c r="E12" i="1"/>
  <c r="E7" i="1"/>
  <c r="C22" i="1" l="1"/>
  <c r="D22" i="1"/>
  <c r="E22" i="1" s="1"/>
</calcChain>
</file>

<file path=xl/sharedStrings.xml><?xml version="1.0" encoding="utf-8"?>
<sst xmlns="http://schemas.openxmlformats.org/spreadsheetml/2006/main" count="32" uniqueCount="25">
  <si>
    <t>AUSTRALIA</t>
  </si>
  <si>
    <t>CANADA</t>
  </si>
  <si>
    <t>BRASILE</t>
  </si>
  <si>
    <t>BELGIO</t>
  </si>
  <si>
    <t>SVIZZERA</t>
  </si>
  <si>
    <t>ARGENTINA</t>
  </si>
  <si>
    <t>GERMANIA</t>
  </si>
  <si>
    <t>FRANCIA</t>
  </si>
  <si>
    <t>ALTRE</t>
  </si>
  <si>
    <t xml:space="preserve"> </t>
  </si>
  <si>
    <t xml:space="preserve">CNA PENSIONATI </t>
  </si>
  <si>
    <t>NAZIONI</t>
  </si>
  <si>
    <t>DELEGHE</t>
  </si>
  <si>
    <t xml:space="preserve">IMPORTI </t>
  </si>
  <si>
    <t>IMPORTO</t>
  </si>
  <si>
    <t>ANNUI</t>
  </si>
  <si>
    <t>AL 50%</t>
  </si>
  <si>
    <t>BONIFICO</t>
  </si>
  <si>
    <t>STATI UNITI D'AMERICA</t>
  </si>
  <si>
    <t xml:space="preserve">TOTALE PARZIALE </t>
  </si>
  <si>
    <t>NO BON.</t>
  </si>
  <si>
    <t>REGNO UNITO</t>
  </si>
  <si>
    <t>TOTALE PARZIALE</t>
  </si>
  <si>
    <t>TOALE GENERALE</t>
  </si>
  <si>
    <t>RIPARTO IMPORTI PER NAZIONI ANNO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</si>
</sst>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18" fillId="0" borderId="13" xfId="0" applyFont="1" applyBorder="1" applyAlignment="1">
      <alignment horizontal="center"/>
    </xf>
    <xf numFmtId="4" fontId="18" fillId="0" borderId="14" xfId="0" applyNumberFormat="1" applyFont="1" applyBorder="1" applyAlignment="1">
      <alignment horizontal="center"/>
    </xf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0" fontId="18" fillId="0" borderId="17" xfId="0" applyFont="1" applyBorder="1"/>
    <xf numFmtId="4" fontId="18" fillId="0" borderId="18" xfId="0" applyNumberFormat="1" applyFont="1" applyBorder="1" applyAlignment="1">
      <alignment horizontal="center"/>
    </xf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4" fontId="19" fillId="0" borderId="24" xfId="0" applyNumberFormat="1" applyFont="1" applyBorder="1"/>
    <xf numFmtId="4" fontId="19" fillId="0" borderId="30" xfId="0" applyNumberFormat="1" applyFont="1" applyBorder="1"/>
    <xf numFmtId="0" fontId="19" fillId="0" borderId="21" xfId="0" applyFont="1" applyBorder="1"/>
    <xf numFmtId="3" fontId="19" fillId="0" borderId="22" xfId="0" applyNumberFormat="1" applyFont="1" applyBorder="1"/>
    <xf numFmtId="4" fontId="19" fillId="0" borderId="0" xfId="0" applyNumberFormat="1" applyFont="1"/>
    <xf numFmtId="4" fontId="19" fillId="0" borderId="22" xfId="0" applyNumberFormat="1" applyFont="1" applyBorder="1"/>
    <xf numFmtId="4" fontId="19" fillId="0" borderId="31" xfId="0" applyNumberFormat="1" applyFont="1" applyBorder="1"/>
    <xf numFmtId="0" fontId="18" fillId="33" borderId="32" xfId="0" applyFont="1" applyFill="1" applyBorder="1"/>
    <xf numFmtId="3" fontId="18" fillId="33" borderId="27" xfId="0" applyNumberFormat="1" applyFont="1" applyFill="1" applyBorder="1"/>
    <xf numFmtId="4" fontId="19" fillId="0" borderId="29" xfId="0" applyNumberFormat="1" applyFont="1" applyBorder="1"/>
    <xf numFmtId="0" fontId="18" fillId="34" borderId="26" xfId="0" applyFont="1" applyFill="1" applyBorder="1"/>
    <xf numFmtId="3" fontId="18" fillId="34" borderId="27" xfId="0" applyNumberFormat="1" applyFont="1" applyFill="1" applyBorder="1"/>
    <xf numFmtId="4" fontId="18" fillId="34" borderId="27" xfId="0" applyNumberFormat="1" applyFont="1" applyFill="1" applyBorder="1"/>
    <xf numFmtId="4" fontId="19" fillId="34" borderId="30" xfId="0" applyNumberFormat="1" applyFont="1" applyFill="1" applyBorder="1"/>
    <xf numFmtId="4" fontId="18" fillId="35" borderId="0" xfId="0" applyNumberFormat="1" applyFont="1" applyFill="1"/>
    <xf numFmtId="4" fontId="18" fillId="35" borderId="23" xfId="0" applyNumberFormat="1" applyFont="1" applyFill="1" applyBorder="1"/>
    <xf numFmtId="0" fontId="18" fillId="35" borderId="26" xfId="0" applyFont="1" applyFill="1" applyBorder="1"/>
    <xf numFmtId="4" fontId="18" fillId="35" borderId="28" xfId="0" applyNumberFormat="1" applyFont="1" applyFill="1" applyBorder="1"/>
    <xf numFmtId="4" fontId="18" fillId="35" borderId="33" xfId="0" applyNumberFormat="1" applyFont="1" applyFill="1" applyBorder="1"/>
    <xf numFmtId="4" fontId="18" fillId="0" borderId="35" xfId="0" applyNumberFormat="1" applyFont="1" applyBorder="1" applyAlignment="1">
      <alignment horizontal="center"/>
    </xf>
    <xf numFmtId="4" fontId="18" fillId="0" borderId="36" xfId="0" applyNumberFormat="1" applyFont="1" applyBorder="1" applyAlignment="1">
      <alignment horizontal="center"/>
    </xf>
    <xf numFmtId="3" fontId="18" fillId="35" borderId="23" xfId="0" applyNumberFormat="1" applyFont="1" applyFill="1" applyBorder="1"/>
    <xf numFmtId="3" fontId="18" fillId="35" borderId="34" xfId="0" applyNumberFormat="1" applyFont="1" applyFill="1" applyBorder="1"/>
    <xf numFmtId="0" fontId="16" fillId="35" borderId="23" xfId="0" applyFont="1" applyFill="1" applyBorder="1"/>
    <xf numFmtId="0" fontId="16" fillId="35" borderId="0" xfId="0" applyFont="1" applyFill="1"/>
    <xf numFmtId="4" fontId="18" fillId="35" borderId="25" xfId="0" applyNumberFormat="1" applyFont="1" applyFill="1" applyBorder="1"/>
    <xf numFmtId="3" fontId="18" fillId="33" borderId="22" xfId="0" applyNumberFormat="1" applyFont="1" applyFill="1" applyBorder="1"/>
    <xf numFmtId="4" fontId="18" fillId="33" borderId="0" xfId="0" applyNumberFormat="1" applyFont="1" applyFill="1"/>
    <xf numFmtId="4" fontId="18" fillId="33" borderId="22" xfId="0" applyNumberFormat="1" applyFont="1" applyFill="1" applyBorder="1"/>
    <xf numFmtId="4" fontId="18" fillId="33" borderId="27" xfId="0" applyNumberFormat="1" applyFont="1" applyFill="1" applyBorder="1"/>
    <xf numFmtId="0" fontId="18" fillId="35" borderId="21" xfId="0" applyFont="1" applyFill="1" applyBorder="1"/>
    <xf numFmtId="0" fontId="18" fillId="33" borderId="21" xfId="0" applyFont="1" applyFill="1" applyBorder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1" defaultTableStyle="TableStyleMedium9" defaultPivotStyle="PivotStyleLight16">
    <tableStyle name="Invisible" pivot="0" table="0" count="0" xr9:uid="{35DC5FE3-62A4-423D-8ED4-FB5083A101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tabSelected="1" workbookViewId="0">
      <selection activeCell="K10" sqref="K10"/>
    </sheetView>
  </sheetViews>
  <sheetFormatPr defaultRowHeight="14.5" x14ac:dyDescent="0.35"/>
  <cols>
    <col min="2" max="2" width="22.7265625" customWidth="1"/>
    <col min="3" max="6" width="12.7265625" customWidth="1"/>
  </cols>
  <sheetData>
    <row r="2" spans="2:6" ht="15" thickBot="1" x14ac:dyDescent="0.4"/>
    <row r="3" spans="2:6" ht="15" thickBot="1" x14ac:dyDescent="0.4">
      <c r="B3" s="41" t="s">
        <v>10</v>
      </c>
      <c r="C3" s="42"/>
      <c r="D3" s="42"/>
      <c r="E3" s="42"/>
      <c r="F3" s="43"/>
    </row>
    <row r="4" spans="2:6" ht="15" thickBot="1" x14ac:dyDescent="0.4">
      <c r="B4" s="44" t="s">
        <v>24</v>
      </c>
      <c r="C4" s="45"/>
      <c r="D4" s="46"/>
      <c r="E4" s="46"/>
      <c r="F4" s="47"/>
    </row>
    <row r="5" spans="2:6" x14ac:dyDescent="0.35">
      <c r="B5" s="1" t="s">
        <v>11</v>
      </c>
      <c r="C5" s="28" t="s">
        <v>12</v>
      </c>
      <c r="D5" s="3" t="s">
        <v>13</v>
      </c>
      <c r="E5" s="2" t="s">
        <v>13</v>
      </c>
      <c r="F5" s="4" t="s">
        <v>14</v>
      </c>
    </row>
    <row r="6" spans="2:6" ht="15" thickBot="1" x14ac:dyDescent="0.4">
      <c r="B6" s="5"/>
      <c r="C6" s="29"/>
      <c r="D6" s="7" t="s">
        <v>15</v>
      </c>
      <c r="E6" s="6" t="s">
        <v>16</v>
      </c>
      <c r="F6" s="8" t="s">
        <v>17</v>
      </c>
    </row>
    <row r="7" spans="2:6" x14ac:dyDescent="0.35">
      <c r="B7" s="39" t="s">
        <v>18</v>
      </c>
      <c r="C7" s="30">
        <v>875</v>
      </c>
      <c r="D7" s="23">
        <v>8156.85</v>
      </c>
      <c r="E7" s="24">
        <f>D7/2</f>
        <v>4078.4250000000002</v>
      </c>
      <c r="F7" s="9"/>
    </row>
    <row r="8" spans="2:6" x14ac:dyDescent="0.35">
      <c r="B8" s="39" t="s">
        <v>0</v>
      </c>
      <c r="C8" s="30">
        <v>490</v>
      </c>
      <c r="D8" s="23">
        <v>5385.64</v>
      </c>
      <c r="E8" s="24">
        <f>D8/2</f>
        <v>2692.82</v>
      </c>
      <c r="F8" s="9"/>
    </row>
    <row r="9" spans="2:6" x14ac:dyDescent="0.35">
      <c r="B9" s="39" t="s">
        <v>1</v>
      </c>
      <c r="C9" s="32">
        <v>709</v>
      </c>
      <c r="D9" s="33">
        <v>4673.76</v>
      </c>
      <c r="E9" s="24">
        <f>D9/2</f>
        <v>2336.88</v>
      </c>
      <c r="F9" s="9"/>
    </row>
    <row r="10" spans="2:6" x14ac:dyDescent="0.35">
      <c r="B10" s="39" t="s">
        <v>2</v>
      </c>
      <c r="C10" s="30">
        <v>265</v>
      </c>
      <c r="D10" s="23">
        <v>5783.96</v>
      </c>
      <c r="E10" s="24">
        <f t="shared" ref="E10:E13" si="0">D10/2</f>
        <v>2891.98</v>
      </c>
      <c r="F10" s="9"/>
    </row>
    <row r="11" spans="2:6" x14ac:dyDescent="0.35">
      <c r="B11" s="39" t="s">
        <v>3</v>
      </c>
      <c r="C11" s="30">
        <v>147</v>
      </c>
      <c r="D11" s="23">
        <v>1188.46</v>
      </c>
      <c r="E11" s="24">
        <f t="shared" si="0"/>
        <v>594.23</v>
      </c>
      <c r="F11" s="9"/>
    </row>
    <row r="12" spans="2:6" x14ac:dyDescent="0.35">
      <c r="B12" s="39" t="s">
        <v>4</v>
      </c>
      <c r="C12" s="30">
        <v>58</v>
      </c>
      <c r="D12" s="23">
        <v>671.71</v>
      </c>
      <c r="E12" s="34">
        <f t="shared" si="0"/>
        <v>335.85500000000002</v>
      </c>
      <c r="F12" s="9"/>
    </row>
    <row r="13" spans="2:6" ht="15" thickBot="1" x14ac:dyDescent="0.4">
      <c r="B13" s="25" t="s">
        <v>19</v>
      </c>
      <c r="C13" s="31">
        <f>SUM(C7:C12)</f>
        <v>2544</v>
      </c>
      <c r="D13" s="26">
        <f>SUM(D7:D12)</f>
        <v>25860.379999999997</v>
      </c>
      <c r="E13" s="27">
        <f t="shared" si="0"/>
        <v>12930.189999999999</v>
      </c>
      <c r="F13" s="10"/>
    </row>
    <row r="14" spans="2:6" ht="15" thickTop="1" x14ac:dyDescent="0.35">
      <c r="B14" s="11"/>
      <c r="C14" s="12"/>
      <c r="D14" s="13"/>
      <c r="E14" s="14"/>
      <c r="F14" s="9"/>
    </row>
    <row r="15" spans="2:6" x14ac:dyDescent="0.35">
      <c r="B15" s="40" t="s">
        <v>5</v>
      </c>
      <c r="C15" s="35">
        <v>29</v>
      </c>
      <c r="D15" s="36">
        <v>445.9</v>
      </c>
      <c r="E15" s="37">
        <f>D15/2</f>
        <v>222.95</v>
      </c>
      <c r="F15" s="9" t="s">
        <v>20</v>
      </c>
    </row>
    <row r="16" spans="2:6" x14ac:dyDescent="0.35">
      <c r="B16" s="40" t="s">
        <v>6</v>
      </c>
      <c r="C16" s="35">
        <v>50</v>
      </c>
      <c r="D16" s="36">
        <v>868.92</v>
      </c>
      <c r="E16" s="37">
        <f t="shared" ref="E16:E20" si="1">D16/2</f>
        <v>434.46</v>
      </c>
      <c r="F16" s="9" t="s">
        <v>20</v>
      </c>
    </row>
    <row r="17" spans="2:6" x14ac:dyDescent="0.35">
      <c r="B17" s="40" t="s">
        <v>7</v>
      </c>
      <c r="C17" s="35">
        <v>15</v>
      </c>
      <c r="D17" s="36">
        <v>543.53</v>
      </c>
      <c r="E17" s="37">
        <f t="shared" si="1"/>
        <v>271.76499999999999</v>
      </c>
      <c r="F17" s="9" t="s">
        <v>20</v>
      </c>
    </row>
    <row r="18" spans="2:6" x14ac:dyDescent="0.35">
      <c r="B18" s="40" t="s">
        <v>21</v>
      </c>
      <c r="C18" s="35">
        <v>10</v>
      </c>
      <c r="D18" s="36">
        <v>312.52</v>
      </c>
      <c r="E18" s="37">
        <f t="shared" si="1"/>
        <v>156.26</v>
      </c>
      <c r="F18" s="9" t="s">
        <v>20</v>
      </c>
    </row>
    <row r="19" spans="2:6" x14ac:dyDescent="0.35">
      <c r="B19" s="40" t="s">
        <v>8</v>
      </c>
      <c r="C19" s="35">
        <v>266</v>
      </c>
      <c r="D19" s="36">
        <v>12037.25</v>
      </c>
      <c r="E19" s="37">
        <f t="shared" si="1"/>
        <v>6018.625</v>
      </c>
      <c r="F19" s="15" t="s">
        <v>20</v>
      </c>
    </row>
    <row r="20" spans="2:6" ht="15" thickBot="1" x14ac:dyDescent="0.4">
      <c r="B20" s="16" t="s">
        <v>22</v>
      </c>
      <c r="C20" s="17">
        <f>SUM(C15:C19)</f>
        <v>370</v>
      </c>
      <c r="D20" s="17">
        <f>SUM(D15:D19)</f>
        <v>14208.119999999999</v>
      </c>
      <c r="E20" s="38">
        <f t="shared" si="1"/>
        <v>7104.0599999999995</v>
      </c>
      <c r="F20" s="18" t="s">
        <v>20</v>
      </c>
    </row>
    <row r="21" spans="2:6" ht="15" thickTop="1" x14ac:dyDescent="0.35">
      <c r="B21" s="11"/>
      <c r="C21" s="12"/>
      <c r="D21" s="13" t="s">
        <v>9</v>
      </c>
      <c r="E21" s="14" t="s">
        <v>9</v>
      </c>
      <c r="F21" s="9"/>
    </row>
    <row r="22" spans="2:6" ht="15" thickBot="1" x14ac:dyDescent="0.4">
      <c r="B22" s="19" t="s">
        <v>23</v>
      </c>
      <c r="C22" s="20">
        <f>C13+C20</f>
        <v>2914</v>
      </c>
      <c r="D22" s="21">
        <f>D13+D20</f>
        <v>40068.5</v>
      </c>
      <c r="E22" s="21">
        <f>D22/2</f>
        <v>20034.25</v>
      </c>
      <c r="F22" s="22"/>
    </row>
    <row r="23" spans="2:6" ht="15" thickTop="1" x14ac:dyDescent="0.35"/>
  </sheetData>
  <mergeCells count="2">
    <mergeCell ref="B3:F3"/>
    <mergeCell ref="B4:F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DELEGHE_IMPORTI_NAZIONI_2025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GiacomoM</dc:creator>
  <cp:lastModifiedBy>Giacomo Masiello</cp:lastModifiedBy>
  <dcterms:created xsi:type="dcterms:W3CDTF">2020-02-15T19:30:18Z</dcterms:created>
  <dcterms:modified xsi:type="dcterms:W3CDTF">2025-02-19T20:16:47Z</dcterms:modified>
</cp:coreProperties>
</file>