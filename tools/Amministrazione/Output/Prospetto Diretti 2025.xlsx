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" fontId="0" fillId="0" borderId="7" pivotButton="0" quotePrefix="0" xfId="0"/>
    <xf numFmtId="0" fontId="3" fillId="0" borderId="8" pivotButton="0" quotePrefix="0" xfId="0"/>
    <xf numFmtId="4" fontId="3" fillId="0" borderId="8" pivotButton="0" quotePrefix="0" xfId="0"/>
    <xf numFmtId="0" fontId="0" fillId="0" borderId="7" applyAlignment="1" pivotButton="0" quotePrefix="0" xfId="0">
      <alignment horizontal="right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selection activeCell="B11" sqref="B11"/>
    </sheetView>
  </sheetViews>
  <sheetFormatPr baseColWidth="8" defaultRowHeight="15"/>
  <cols>
    <col width="24.28515625" customWidth="1" style="1" min="1" max="1"/>
    <col width="22.7109375" customWidth="1" style="1" min="2" max="2"/>
    <col width="25.42578125" customWidth="1" style="1" min="3" max="3"/>
  </cols>
  <sheetData>
    <row r="1" ht="24.75" customHeight="1" s="1" thickBot="1">
      <c r="A1" s="6" t="inlineStr">
        <is>
          <t>ASSOCIATI DIRETTI - 2025</t>
        </is>
      </c>
      <c r="B1" s="7" t="n"/>
      <c r="C1" s="8" t="n"/>
    </row>
    <row r="2" ht="15.75" customHeight="1" s="1" thickBot="1">
      <c r="A2" s="5" t="inlineStr">
        <is>
          <t>SEDE</t>
        </is>
      </c>
      <c r="B2" s="5" t="inlineStr">
        <is>
          <t>N.ASSOCIATI</t>
        </is>
      </c>
      <c r="C2" s="5" t="inlineStr">
        <is>
          <t>IMPORTO</t>
        </is>
      </c>
    </row>
    <row r="3">
      <c r="A3" s="9" t="inlineStr">
        <is>
          <t>BOLOGNA</t>
        </is>
      </c>
      <c r="B3" s="9" t="n">
        <v>28</v>
      </c>
      <c r="C3" s="10" t="n">
        <v>1360</v>
      </c>
    </row>
    <row r="4">
      <c r="A4" s="9" t="inlineStr">
        <is>
          <t>FERRARA</t>
        </is>
      </c>
      <c r="B4" s="9" t="n">
        <v>6</v>
      </c>
      <c r="C4" s="10" t="n">
        <v>300</v>
      </c>
    </row>
    <row r="5">
      <c r="A5" s="9" t="inlineStr">
        <is>
          <t>MODENA</t>
        </is>
      </c>
      <c r="B5" s="9" t="n">
        <v>54</v>
      </c>
      <c r="C5" s="10" t="n">
        <v>1500</v>
      </c>
    </row>
    <row r="6">
      <c r="A6" s="9" t="inlineStr">
        <is>
          <t>PARMA</t>
        </is>
      </c>
      <c r="B6" s="9" t="n">
        <v>3</v>
      </c>
      <c r="C6" s="10" t="n">
        <v>220</v>
      </c>
    </row>
    <row r="7">
      <c r="A7" s="9" t="inlineStr">
        <is>
          <t>RAVENNA</t>
        </is>
      </c>
      <c r="B7" s="9" t="n">
        <v>1</v>
      </c>
      <c r="C7" s="10" t="n">
        <v>0</v>
      </c>
    </row>
    <row r="8">
      <c r="A8" s="9" t="inlineStr">
        <is>
          <t>REGGIO NELL'EMILIA</t>
        </is>
      </c>
      <c r="B8" s="9" t="n">
        <v>45</v>
      </c>
      <c r="C8" s="10" t="n">
        <v>2025</v>
      </c>
    </row>
    <row r="9">
      <c r="A9" s="11" t="inlineStr">
        <is>
          <t>EMILIA-ROMAGNA</t>
        </is>
      </c>
      <c r="B9" s="11">
        <f>SUM(B3:B8)</f>
        <v/>
      </c>
      <c r="C9" s="12">
        <f>SUM(C3:C8)</f>
        <v/>
      </c>
    </row>
    <row r="11">
      <c r="A11" s="9" t="inlineStr">
        <is>
          <t>BERGAMO</t>
        </is>
      </c>
      <c r="B11" s="9" t="n">
        <v>112</v>
      </c>
      <c r="C11" s="10" t="n">
        <v>1215</v>
      </c>
    </row>
    <row r="12">
      <c r="A12" s="9" t="inlineStr">
        <is>
          <t>LOMBARDIA N.OVEST</t>
        </is>
      </c>
      <c r="B12" s="9" t="n">
        <v>6</v>
      </c>
      <c r="C12" s="10" t="n">
        <v>150</v>
      </c>
    </row>
    <row r="13">
      <c r="A13" s="9" t="inlineStr">
        <is>
          <t>MILANO</t>
        </is>
      </c>
      <c r="B13" s="9" t="n">
        <v>50</v>
      </c>
      <c r="C13" s="10" t="n">
        <v>1500</v>
      </c>
    </row>
    <row r="14">
      <c r="A14" s="11" t="inlineStr">
        <is>
          <t>LOMBARDIA</t>
        </is>
      </c>
      <c r="B14" s="11">
        <f>SUM(B11:B13)</f>
        <v/>
      </c>
      <c r="C14" s="12">
        <f>SUM(C11:C13)</f>
        <v/>
      </c>
    </row>
    <row r="16">
      <c r="A16" s="9" t="inlineStr">
        <is>
          <t>PALERMO</t>
        </is>
      </c>
      <c r="B16" s="9" t="n">
        <v>2</v>
      </c>
      <c r="C16" s="10" t="n">
        <v>100</v>
      </c>
    </row>
    <row r="17">
      <c r="A17" s="11" t="inlineStr">
        <is>
          <t>SICILIA</t>
        </is>
      </c>
      <c r="B17" s="11">
        <f>SUM(B16:B16)</f>
        <v/>
      </c>
      <c r="C17" s="12">
        <f>SUM(C16:C16)</f>
        <v/>
      </c>
    </row>
    <row r="19">
      <c r="A19" s="9" t="inlineStr">
        <is>
          <t>FIRENZE</t>
        </is>
      </c>
      <c r="B19" s="9" t="n">
        <v>3</v>
      </c>
      <c r="C19" s="10" t="n">
        <v>100</v>
      </c>
    </row>
    <row r="20">
      <c r="A20" s="9" t="inlineStr">
        <is>
          <t>GROSSETO</t>
        </is>
      </c>
      <c r="B20" s="9" t="n">
        <v>37</v>
      </c>
      <c r="C20" s="10" t="n">
        <v>1500</v>
      </c>
    </row>
    <row r="21">
      <c r="A21" s="9" t="inlineStr">
        <is>
          <t>LIVORNO</t>
        </is>
      </c>
      <c r="B21" s="9" t="n">
        <v>4</v>
      </c>
      <c r="C21" s="10" t="n">
        <v>200</v>
      </c>
    </row>
    <row r="22">
      <c r="A22" s="9" t="inlineStr">
        <is>
          <t>MASSA-CARRARA</t>
        </is>
      </c>
      <c r="B22" s="9" t="n">
        <v>1</v>
      </c>
      <c r="C22" s="10" t="n">
        <v>0</v>
      </c>
    </row>
    <row r="23">
      <c r="A23" s="9" t="inlineStr">
        <is>
          <t>PISA</t>
        </is>
      </c>
      <c r="B23" s="9" t="n">
        <v>11</v>
      </c>
      <c r="C23" s="10" t="n">
        <v>240</v>
      </c>
    </row>
    <row r="24">
      <c r="A24" s="9" t="inlineStr">
        <is>
          <t>PISTOIA</t>
        </is>
      </c>
      <c r="B24" s="9" t="n">
        <v>76</v>
      </c>
      <c r="C24" s="10" t="n">
        <v>3810</v>
      </c>
    </row>
    <row r="25">
      <c r="A25" s="9" t="inlineStr">
        <is>
          <t>PRATO</t>
        </is>
      </c>
      <c r="B25" s="9" t="n">
        <v>183</v>
      </c>
      <c r="C25" s="10" t="n">
        <v>8740</v>
      </c>
    </row>
    <row r="26">
      <c r="A26" s="11" t="inlineStr">
        <is>
          <t>TOSCANA</t>
        </is>
      </c>
      <c r="B26" s="11">
        <f>SUM(B19:B25)</f>
        <v/>
      </c>
      <c r="C26" s="12">
        <f>SUM(C19:C25)</f>
        <v/>
      </c>
    </row>
    <row r="28">
      <c r="A28" s="9" t="inlineStr">
        <is>
          <t>BOLZANO</t>
        </is>
      </c>
      <c r="B28" s="9" t="n">
        <v>1</v>
      </c>
      <c r="C28" s="10" t="n">
        <v>30</v>
      </c>
    </row>
    <row r="29">
      <c r="A29" s="11" t="inlineStr">
        <is>
          <t>TRENTINO-ALTO ADIGE</t>
        </is>
      </c>
      <c r="B29" s="11">
        <f>SUM(B28:B28)</f>
        <v/>
      </c>
      <c r="C29" s="12">
        <f>SUM(C28:C28)</f>
        <v/>
      </c>
    </row>
    <row r="31">
      <c r="A31" s="9" t="inlineStr">
        <is>
          <t>ROVIGO</t>
        </is>
      </c>
      <c r="B31" s="9" t="n">
        <v>13</v>
      </c>
      <c r="C31" s="10" t="n">
        <v>325</v>
      </c>
    </row>
    <row r="32">
      <c r="A32" s="9" t="inlineStr">
        <is>
          <t>TREVISO</t>
        </is>
      </c>
      <c r="B32" s="9" t="n">
        <v>18</v>
      </c>
      <c r="C32" s="10" t="n">
        <v>450</v>
      </c>
    </row>
    <row r="33">
      <c r="A33" s="9" t="inlineStr">
        <is>
          <t>VENETO NORD</t>
        </is>
      </c>
      <c r="B33" s="9">
        <f>SUM(B34:B34)</f>
        <v/>
      </c>
      <c r="C33" s="10">
        <f>SUM(C34:C34)</f>
        <v/>
      </c>
    </row>
    <row r="34">
      <c r="A34" s="13" t="inlineStr">
        <is>
          <t>VERONA</t>
        </is>
      </c>
      <c r="B34" s="9" t="n">
        <v>2</v>
      </c>
      <c r="C34" s="10" t="n">
        <v>50</v>
      </c>
    </row>
    <row r="35">
      <c r="A35" s="11" t="inlineStr">
        <is>
          <t>VENETO</t>
        </is>
      </c>
      <c r="B35" s="11">
        <f>SUM(B31:B32,B33)</f>
        <v/>
      </c>
      <c r="C35" s="12">
        <f>SUM(C31:C32,C33)</f>
        <v/>
      </c>
    </row>
    <row r="37">
      <c r="A37" s="11" t="inlineStr">
        <is>
          <t>TOTALE COMPLESSIVO</t>
        </is>
      </c>
      <c r="B37" s="11">
        <f>SUM(B9,B14,B17,B26,B29,B35)</f>
        <v/>
      </c>
      <c r="C37" s="12">
        <f>SUM(C9,C14,C17,C26,C29,C35)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Lorenzo Simoncelli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2026-02-17T14:57:23Z</dcterms:modified>
  <cp:lastModifiedBy>Lorenzo Simoncelli</cp:lastModifiedBy>
</cp:coreProperties>
</file>